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ustom.xml" ContentType="application/vnd.openxmlformats-officedocument.custom-propertie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customXml/itemProps4.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332"/>
  <workbookPr codeName="ThisWorkbook" defaultThemeVersion="124226"/>
  <mc:AlternateContent xmlns:mc="http://schemas.openxmlformats.org/markup-compatibility/2006">
    <mc:Choice Requires="x15">
      <x15ac:absPath xmlns:x15ac="http://schemas.microsoft.com/office/spreadsheetml/2010/11/ac" url="C:\Users\QAHHA7\Downloads\"/>
    </mc:Choice>
  </mc:AlternateContent>
  <xr:revisionPtr revIDLastSave="0" documentId="8_{7E980693-973C-4B09-84F5-71789100F4BC}" xr6:coauthVersionLast="47" xr6:coauthVersionMax="47" xr10:uidLastSave="{00000000-0000-0000-0000-000000000000}"/>
  <bookViews>
    <workbookView xWindow="-120" yWindow="-120" windowWidth="29040" windowHeight="15840" tabRatio="883" activeTab="3" xr2:uid="{00000000-000D-0000-FFFF-FFFF00000000}"/>
  </bookViews>
  <sheets>
    <sheet name="Tender Info" sheetId="48" r:id="rId1"/>
    <sheet name="Guidelines" sheetId="45" r:id="rId2"/>
    <sheet name="Table A Investment" sheetId="37" state="veryHidden" r:id="rId3"/>
    <sheet name="Table B Workforce - Contractor" sheetId="47" r:id="rId4"/>
    <sheet name="Workforce - Subcontractor" sheetId="43" r:id="rId5"/>
    <sheet name="Table C Goods " sheetId="30" r:id="rId6"/>
    <sheet name="Table D Services" sheetId="31" r:id="rId7"/>
    <sheet name="Table E IndirectICV" sheetId="46" state="hidden" r:id="rId8"/>
    <sheet name="Summary" sheetId="39" r:id="rId9"/>
    <sheet name="Lookup" sheetId="40" state="hidden" r:id="rId10"/>
    <sheet name="System Values" sheetId="44" state="hidden" r:id="rId11"/>
    <sheet name="Goods Data" sheetId="19" state="hidden" r:id="rId12"/>
    <sheet name="Service Data" sheetId="20" state="hidden" r:id="rId13"/>
    <sheet name="Indirect Data" sheetId="21" state="hidden" r:id="rId14"/>
    <sheet name="srvcatData" sheetId="22" state="hidden" r:id="rId15"/>
    <sheet name="IndCatData" sheetId="23" state="hidden" r:id="rId16"/>
    <sheet name="InvData" sheetId="24" state="hidden" r:id="rId17"/>
  </sheets>
  <definedNames>
    <definedName name="Chemical_Energy">Lookup!$O$3:$O$27</definedName>
    <definedName name="Chemical_Energy_Services">Lookup!$V$3:$V$7</definedName>
    <definedName name="Chemicals_and_Energy">'Goods Data'!$E$2:$E$26</definedName>
    <definedName name="Chemicals_Energy">Lookup!$O$3:$O$27</definedName>
    <definedName name="Civil_and_Equipment">'Goods Data'!$F$2:$F$26</definedName>
    <definedName name="Civil_and_Services">'Service Data'!$E$2:$E$23</definedName>
    <definedName name="Corporate_Services">Lookup!$W$3:$W$27</definedName>
    <definedName name="dd_category">Lookup!$I$1:$K$1</definedName>
    <definedName name="Electrical_and_Equipment">'Goods Data'!$G$2:$G$24</definedName>
    <definedName name="Electrical_and_Services">'Service Data'!$F$2:$F$15</definedName>
    <definedName name="EngineeringProjectConstruction">Lookup!$Q$3:$Q$12</definedName>
    <definedName name="EPC_Services">Lookup!$X$3:$X$31</definedName>
    <definedName name="Equipment">Lookup!$R$3:$R$55</definedName>
    <definedName name="EquipmentServices">Lookup!$Y$3:$Y$6</definedName>
    <definedName name="FuelOils">Lookup!$O$3:$O$27</definedName>
    <definedName name="Geoscience">'Service Data'!$G$2:$G$23</definedName>
    <definedName name="Geoscience_Services">Lookup!$Z$3:$Z$15</definedName>
    <definedName name="Health_and_Safety_and_and_and_Environment">'Service Data'!$H$2:$H$8</definedName>
    <definedName name="Health_and_Safety_and_Equipment">'Goods Data'!$H$2:$H$24</definedName>
    <definedName name="Instrumentation_and_Automation_and_Equipment">'Goods Data'!$I$2:$I$23</definedName>
    <definedName name="Instrumentation_and_Automation_and_Services">'Service Data'!$I$2:$I$13</definedName>
    <definedName name="IT_and_Services">'Service Data'!$J$2:$J$11</definedName>
    <definedName name="IT_and_Telecom">'Goods Data'!$J$2:$J$25</definedName>
    <definedName name="Linepipe">'Goods Data'!$K$2:$K$11</definedName>
    <definedName name="Logistics">'Service Data'!$K$2:$K$23</definedName>
    <definedName name="Made_In_Oman">'Goods Data'!$B$2:$B$5</definedName>
    <definedName name="MadeinOman">Lookup!$E$2:$E$5</definedName>
    <definedName name="Mechanical_and_Services">'Service Data'!$L$2:$L$15</definedName>
    <definedName name="Misc_Goods">Lookup!$P$3:$P$16</definedName>
    <definedName name="Misc_Services">Lookup!$AA$3:$AA$29</definedName>
    <definedName name="NonMade_In_Oman">'Goods Data'!$C$2:$C$6</definedName>
    <definedName name="NotMadeinOman_ProcuredfromForeignRegisteredCompany">Lookup!$E$6</definedName>
    <definedName name="NotMadeinOman_ProcuredfromNationallyRegisteredCompany">Lookup!$E$2:$E$5</definedName>
    <definedName name="Other_and_Equipments">'Goods Data'!$L$2:$L$12</definedName>
    <definedName name="Other_and_Services">'Service Data'!$M$2:$M$15</definedName>
    <definedName name="Others">'Goods Data'!$M$2:$M$2,'Service Data'!$N$2:$N$2</definedName>
    <definedName name="Pipeline_and_Construction">'Service Data'!$O$2:$O$15</definedName>
    <definedName name="Project_and_Engineering_and_Services">'Service Data'!$P$2:$P$20</definedName>
    <definedName name="Rotating_and_Equipment">'Goods Data'!$N$2:$N$14</definedName>
    <definedName name="Services">Lookup!$P$14:$P$16</definedName>
    <definedName name="ServicesSourced_ForeignRegisteredCompany">Lookup!$K$2</definedName>
    <definedName name="ServicesSourced_NationalRegisteredCompany">Lookup!$E$2:$E$5</definedName>
    <definedName name="Static_and_MRO_and_Equipment">'Goods Data'!$O$2:$O$34</definedName>
    <definedName name="Well_and_Services">'Service Data'!$Q$2:$Q$30</definedName>
    <definedName name="Wells">Lookup!$S$3:$S$18</definedName>
    <definedName name="Wells_and_Equipment">'Goods Data'!$P$2:$P$30</definedName>
    <definedName name="Wells_Services">Lookup!$AB$3:$AB$44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6" i="37" l="1"/>
  <c r="F7" i="37"/>
  <c r="F5" i="47"/>
  <c r="F11" i="47" s="1"/>
  <c r="G5" i="47"/>
  <c r="G11" i="47" s="1"/>
  <c r="I5" i="47"/>
  <c r="I11" i="47" s="1"/>
  <c r="I13" i="47" s="1"/>
  <c r="J5" i="47"/>
  <c r="J11" i="47" s="1"/>
  <c r="J13" i="47" s="1"/>
  <c r="L5" i="47"/>
  <c r="M5" i="47"/>
  <c r="O5" i="47"/>
  <c r="P5" i="47"/>
  <c r="F6" i="47"/>
  <c r="F12" i="47" s="1"/>
  <c r="I19" i="47" s="1"/>
  <c r="G6" i="47"/>
  <c r="G12" i="47" s="1"/>
  <c r="I6" i="47"/>
  <c r="J6" i="47"/>
  <c r="L6" i="47"/>
  <c r="M6" i="47"/>
  <c r="O6" i="47"/>
  <c r="P6" i="47"/>
  <c r="F8" i="47"/>
  <c r="G8" i="47"/>
  <c r="I8" i="47"/>
  <c r="J8" i="47"/>
  <c r="L8" i="47"/>
  <c r="M8" i="47"/>
  <c r="O8" i="47"/>
  <c r="P8" i="47"/>
  <c r="F9" i="47"/>
  <c r="G9" i="47"/>
  <c r="I9" i="47"/>
  <c r="J9" i="47"/>
  <c r="L9" i="47"/>
  <c r="M9" i="47"/>
  <c r="M12" i="47" s="1"/>
  <c r="M13" i="47" s="1"/>
  <c r="O9" i="47"/>
  <c r="P9" i="47"/>
  <c r="E11" i="47"/>
  <c r="H18" i="47" s="1"/>
  <c r="H20" i="47" s="1"/>
  <c r="H11" i="47"/>
  <c r="K11" i="47"/>
  <c r="L11" i="47"/>
  <c r="M11" i="47"/>
  <c r="N11" i="47"/>
  <c r="O11" i="47"/>
  <c r="P11" i="47"/>
  <c r="E12" i="47"/>
  <c r="H12" i="47"/>
  <c r="I12" i="47"/>
  <c r="J12" i="47"/>
  <c r="K12" i="47"/>
  <c r="K13" i="47" s="1"/>
  <c r="L12" i="47"/>
  <c r="L13" i="47" s="1"/>
  <c r="N12" i="47"/>
  <c r="O12" i="47"/>
  <c r="P12" i="47"/>
  <c r="E13" i="47"/>
  <c r="H13" i="47"/>
  <c r="N13" i="47"/>
  <c r="O13" i="47"/>
  <c r="P13" i="47"/>
  <c r="E19" i="47"/>
  <c r="H19" i="47"/>
  <c r="AB30" i="47"/>
  <c r="AC30" i="47"/>
  <c r="AD30" i="47"/>
  <c r="AE30" i="47"/>
  <c r="AB31" i="47"/>
  <c r="AD31" i="47" s="1"/>
  <c r="AC31" i="47"/>
  <c r="AB32" i="47"/>
  <c r="AD32" i="47" s="1"/>
  <c r="AC32" i="47"/>
  <c r="AB33" i="47"/>
  <c r="AD33" i="47" s="1"/>
  <c r="AC33" i="47"/>
  <c r="AB34" i="47"/>
  <c r="AD34" i="47" s="1"/>
  <c r="AC34" i="47"/>
  <c r="AE34" i="47"/>
  <c r="AB35" i="47"/>
  <c r="AC35" i="47"/>
  <c r="AD35" i="47" s="1"/>
  <c r="AB36" i="47"/>
  <c r="AD36" i="47" s="1"/>
  <c r="AC36" i="47"/>
  <c r="AB37" i="47"/>
  <c r="AC37" i="47"/>
  <c r="AD37" i="47"/>
  <c r="AB38" i="47"/>
  <c r="AD38" i="47" s="1"/>
  <c r="AC38" i="47"/>
  <c r="AE38" i="47"/>
  <c r="AB39" i="47"/>
  <c r="AD39" i="47" s="1"/>
  <c r="AC39" i="47"/>
  <c r="AB40" i="47"/>
  <c r="AC40" i="47"/>
  <c r="AD40" i="47" s="1"/>
  <c r="AB41" i="47"/>
  <c r="AD41" i="47" s="1"/>
  <c r="AC41" i="47"/>
  <c r="AB42" i="47"/>
  <c r="AC42" i="47"/>
  <c r="AD42" i="47"/>
  <c r="AE42" i="47"/>
  <c r="AB43" i="47"/>
  <c r="AD43" i="47" s="1"/>
  <c r="AC43" i="47"/>
  <c r="AB44" i="47"/>
  <c r="AD44" i="47" s="1"/>
  <c r="AC44" i="47"/>
  <c r="AB45" i="47"/>
  <c r="AC45" i="47"/>
  <c r="AD45" i="47" s="1"/>
  <c r="AB46" i="47"/>
  <c r="AD46" i="47" s="1"/>
  <c r="AC46" i="47"/>
  <c r="AE46" i="47"/>
  <c r="AB47" i="47"/>
  <c r="AC47" i="47"/>
  <c r="AD47" i="47"/>
  <c r="AB48" i="47"/>
  <c r="AD48" i="47" s="1"/>
  <c r="AC48" i="47"/>
  <c r="AB49" i="47"/>
  <c r="AD49" i="47" s="1"/>
  <c r="AC49" i="47"/>
  <c r="AB50" i="47"/>
  <c r="AC50" i="47"/>
  <c r="AD50" i="47" s="1"/>
  <c r="AE50" i="47"/>
  <c r="AB51" i="47"/>
  <c r="AD51" i="47" s="1"/>
  <c r="AC51" i="47"/>
  <c r="AB52" i="47"/>
  <c r="AC52" i="47"/>
  <c r="AD52" i="47"/>
  <c r="AB53" i="47"/>
  <c r="AD53" i="47" s="1"/>
  <c r="AC53" i="47"/>
  <c r="AB6" i="43"/>
  <c r="AD6" i="43" s="1"/>
  <c r="AC6" i="43"/>
  <c r="AE6" i="43"/>
  <c r="AB7" i="43"/>
  <c r="AD7" i="43" s="1"/>
  <c r="AC7" i="43"/>
  <c r="AB8" i="43"/>
  <c r="AD8" i="43" s="1"/>
  <c r="AC8" i="43"/>
  <c r="AB9" i="43"/>
  <c r="AC9" i="43"/>
  <c r="AD9" i="43"/>
  <c r="AB10" i="43"/>
  <c r="AD10" i="43" s="1"/>
  <c r="AC10" i="43"/>
  <c r="AE10" i="43"/>
  <c r="AB11" i="43"/>
  <c r="AC11" i="43"/>
  <c r="AD11" i="43"/>
  <c r="AB12" i="43"/>
  <c r="AD12" i="43" s="1"/>
  <c r="AC12" i="43"/>
  <c r="AB13" i="43"/>
  <c r="AD13" i="43" s="1"/>
  <c r="AC13" i="43"/>
  <c r="AB14" i="43"/>
  <c r="AC14" i="43"/>
  <c r="AD14" i="43"/>
  <c r="AE14" i="43"/>
  <c r="AB15" i="43"/>
  <c r="AD15" i="43" s="1"/>
  <c r="AC15" i="43"/>
  <c r="AB16" i="43"/>
  <c r="AC16" i="43"/>
  <c r="AD16" i="43"/>
  <c r="AB17" i="43"/>
  <c r="AD17" i="43" s="1"/>
  <c r="AC17" i="43"/>
  <c r="AB18" i="43"/>
  <c r="AD18" i="43" s="1"/>
  <c r="AC18" i="43"/>
  <c r="AE18" i="43"/>
  <c r="AB19" i="43"/>
  <c r="AC19" i="43"/>
  <c r="AD19" i="43" s="1"/>
  <c r="AB20" i="43"/>
  <c r="AD20" i="43" s="1"/>
  <c r="AC20" i="43"/>
  <c r="AB21" i="43"/>
  <c r="AC21" i="43"/>
  <c r="AD21" i="43"/>
  <c r="AB22" i="43"/>
  <c r="AD22" i="43" s="1"/>
  <c r="AC22" i="43"/>
  <c r="AE22" i="43"/>
  <c r="AB23" i="43"/>
  <c r="AD23" i="43" s="1"/>
  <c r="AC23" i="43"/>
  <c r="AB24" i="43"/>
  <c r="AC24" i="43"/>
  <c r="AD24" i="43" s="1"/>
  <c r="AB25" i="43"/>
  <c r="AD25" i="43" s="1"/>
  <c r="AC25" i="43"/>
  <c r="AB26" i="43"/>
  <c r="AC26" i="43"/>
  <c r="AD26" i="43"/>
  <c r="AE26" i="43"/>
  <c r="AB27" i="43"/>
  <c r="AD27" i="43" s="1"/>
  <c r="AC27" i="43"/>
  <c r="AB28" i="43"/>
  <c r="AD28" i="43" s="1"/>
  <c r="AC28" i="43"/>
  <c r="AB29" i="43"/>
  <c r="AC29" i="43"/>
  <c r="AD29" i="43" s="1"/>
  <c r="M6" i="30"/>
  <c r="M7" i="30"/>
  <c r="M8" i="30"/>
  <c r="M9" i="30"/>
  <c r="M10" i="30"/>
  <c r="M11" i="30"/>
  <c r="M12" i="30"/>
  <c r="I14" i="30"/>
  <c r="J14" i="30"/>
  <c r="I15" i="30"/>
  <c r="J15" i="30"/>
  <c r="I16" i="30"/>
  <c r="J16" i="30"/>
  <c r="I17" i="30"/>
  <c r="J17" i="30"/>
  <c r="I18" i="30"/>
  <c r="J18" i="30"/>
  <c r="I19" i="30"/>
  <c r="J19" i="30"/>
  <c r="I20" i="30"/>
  <c r="J20" i="30"/>
  <c r="I21" i="30"/>
  <c r="J21" i="30"/>
  <c r="I22" i="30"/>
  <c r="J22" i="30"/>
  <c r="I23" i="30"/>
  <c r="J23" i="30"/>
  <c r="I24" i="30"/>
  <c r="J24" i="30"/>
  <c r="I25" i="30"/>
  <c r="J25" i="30"/>
  <c r="I26" i="30"/>
  <c r="J26" i="30"/>
  <c r="I27" i="30"/>
  <c r="J27" i="30"/>
  <c r="I28" i="30"/>
  <c r="J28" i="30"/>
  <c r="I29" i="30"/>
  <c r="J29" i="30"/>
  <c r="I30" i="30"/>
  <c r="J30" i="30"/>
  <c r="I31" i="30"/>
  <c r="J31" i="30"/>
  <c r="I32" i="30"/>
  <c r="J32" i="30"/>
  <c r="I33" i="30"/>
  <c r="J33" i="30"/>
  <c r="I34" i="30"/>
  <c r="J34" i="30"/>
  <c r="I35" i="30"/>
  <c r="J35" i="30"/>
  <c r="I36" i="30"/>
  <c r="J36" i="30"/>
  <c r="I37" i="30"/>
  <c r="J37" i="30"/>
  <c r="I38" i="30"/>
  <c r="J38" i="30"/>
  <c r="I39" i="30"/>
  <c r="J39" i="30"/>
  <c r="I40" i="30"/>
  <c r="J40" i="30"/>
  <c r="I41" i="30"/>
  <c r="J41" i="30"/>
  <c r="I42" i="30"/>
  <c r="J42" i="30"/>
  <c r="I43" i="30"/>
  <c r="J43" i="30"/>
  <c r="I44" i="30"/>
  <c r="J44" i="30"/>
  <c r="I45" i="30"/>
  <c r="J45" i="30"/>
  <c r="I46" i="30"/>
  <c r="J46" i="30"/>
  <c r="I47" i="30"/>
  <c r="J47" i="30"/>
  <c r="I48" i="30"/>
  <c r="J48" i="30"/>
  <c r="I49" i="30"/>
  <c r="J49" i="30"/>
  <c r="I50" i="30"/>
  <c r="J50" i="30"/>
  <c r="I51" i="30"/>
  <c r="J51" i="30"/>
  <c r="I52" i="30"/>
  <c r="J52" i="30"/>
  <c r="I53" i="30"/>
  <c r="J53" i="30"/>
  <c r="I54" i="30"/>
  <c r="J54" i="30"/>
  <c r="I55" i="30"/>
  <c r="J55" i="30"/>
  <c r="I56" i="30"/>
  <c r="J56" i="30"/>
  <c r="I57" i="30"/>
  <c r="J57" i="30"/>
  <c r="I58" i="30"/>
  <c r="J58" i="30"/>
  <c r="I59" i="30"/>
  <c r="J59" i="30"/>
  <c r="I60" i="30"/>
  <c r="J60" i="30"/>
  <c r="I61" i="30"/>
  <c r="J61" i="30"/>
  <c r="I62" i="30"/>
  <c r="J62" i="30"/>
  <c r="I63" i="30"/>
  <c r="J63" i="30"/>
  <c r="I64" i="30"/>
  <c r="J64" i="30"/>
  <c r="I65" i="30"/>
  <c r="J65" i="30"/>
  <c r="I66" i="30"/>
  <c r="J66" i="30"/>
  <c r="I67" i="30"/>
  <c r="J67" i="30"/>
  <c r="I68" i="30"/>
  <c r="J68" i="30"/>
  <c r="I69" i="30"/>
  <c r="J69" i="30"/>
  <c r="I70" i="30"/>
  <c r="J70" i="30"/>
  <c r="I71" i="30"/>
  <c r="J71" i="30"/>
  <c r="I72" i="30"/>
  <c r="J72" i="30"/>
  <c r="I73" i="30"/>
  <c r="J73" i="30"/>
  <c r="I74" i="30"/>
  <c r="J74" i="30"/>
  <c r="I75" i="30"/>
  <c r="J75" i="30"/>
  <c r="I76" i="30"/>
  <c r="J76" i="30"/>
  <c r="I77" i="30"/>
  <c r="J77" i="30"/>
  <c r="I78" i="30"/>
  <c r="J78" i="30"/>
  <c r="I79" i="30"/>
  <c r="J79" i="30"/>
  <c r="I80" i="30"/>
  <c r="J80" i="30"/>
  <c r="I81" i="30"/>
  <c r="J81" i="30"/>
  <c r="I82" i="30"/>
  <c r="J82" i="30"/>
  <c r="I83" i="30"/>
  <c r="J83" i="30"/>
  <c r="I84" i="30"/>
  <c r="J84" i="30"/>
  <c r="I85" i="30"/>
  <c r="J85" i="30"/>
  <c r="I86" i="30"/>
  <c r="J86" i="30"/>
  <c r="I87" i="30"/>
  <c r="J87" i="30"/>
  <c r="I88" i="30"/>
  <c r="J88" i="30"/>
  <c r="I89" i="30"/>
  <c r="J89" i="30"/>
  <c r="I90" i="30"/>
  <c r="J90" i="30"/>
  <c r="I91" i="30"/>
  <c r="J91" i="30"/>
  <c r="I92" i="30"/>
  <c r="J92" i="30"/>
  <c r="I93" i="30"/>
  <c r="J93" i="30"/>
  <c r="I94" i="30"/>
  <c r="J94" i="30"/>
  <c r="I95" i="30"/>
  <c r="J95" i="30"/>
  <c r="I96" i="30"/>
  <c r="J96" i="30"/>
  <c r="I97" i="30"/>
  <c r="J97" i="30"/>
  <c r="I98" i="30"/>
  <c r="J98" i="30"/>
  <c r="I99" i="30"/>
  <c r="J99" i="30"/>
  <c r="I100" i="30"/>
  <c r="J100" i="30"/>
  <c r="I101" i="30"/>
  <c r="J101" i="30"/>
  <c r="I102" i="30"/>
  <c r="J102" i="30"/>
  <c r="I103" i="30"/>
  <c r="J103" i="30"/>
  <c r="I104" i="30"/>
  <c r="J104" i="30"/>
  <c r="I105" i="30"/>
  <c r="J105" i="30"/>
  <c r="I106" i="30"/>
  <c r="J106" i="30"/>
  <c r="I107" i="30"/>
  <c r="J107" i="30"/>
  <c r="I108" i="30"/>
  <c r="J108" i="30"/>
  <c r="I109" i="30"/>
  <c r="J109" i="30"/>
  <c r="I110" i="30"/>
  <c r="J110" i="30"/>
  <c r="I111" i="30"/>
  <c r="J111" i="30"/>
  <c r="I112" i="30"/>
  <c r="J112" i="30"/>
  <c r="I113" i="30"/>
  <c r="J113" i="30"/>
  <c r="I114" i="30"/>
  <c r="J114" i="30"/>
  <c r="I115" i="30"/>
  <c r="J115" i="30"/>
  <c r="I116" i="30"/>
  <c r="J116" i="30"/>
  <c r="I117" i="30"/>
  <c r="J117" i="30"/>
  <c r="I118" i="30"/>
  <c r="J118" i="30"/>
  <c r="I119" i="30"/>
  <c r="J119" i="30"/>
  <c r="I120" i="30"/>
  <c r="J120" i="30"/>
  <c r="I121" i="30"/>
  <c r="J121" i="30"/>
  <c r="I122" i="30"/>
  <c r="J122" i="30"/>
  <c r="I123" i="30"/>
  <c r="J123" i="30"/>
  <c r="I124" i="30"/>
  <c r="J124" i="30"/>
  <c r="I125" i="30"/>
  <c r="J125" i="30"/>
  <c r="I126" i="30"/>
  <c r="J126" i="30"/>
  <c r="I127" i="30"/>
  <c r="J127" i="30"/>
  <c r="I128" i="30"/>
  <c r="J128" i="30"/>
  <c r="I129" i="30"/>
  <c r="J129" i="30"/>
  <c r="I130" i="30"/>
  <c r="J130" i="30"/>
  <c r="I131" i="30"/>
  <c r="J131" i="30"/>
  <c r="I132" i="30"/>
  <c r="J132" i="30"/>
  <c r="I133" i="30"/>
  <c r="J133" i="30"/>
  <c r="I134" i="30"/>
  <c r="J134" i="30"/>
  <c r="I135" i="30"/>
  <c r="J135" i="30"/>
  <c r="I136" i="30"/>
  <c r="J136" i="30"/>
  <c r="I137" i="30"/>
  <c r="J137" i="30"/>
  <c r="I138" i="30"/>
  <c r="J138" i="30"/>
  <c r="I139" i="30"/>
  <c r="J139" i="30"/>
  <c r="I140" i="30"/>
  <c r="J140" i="30"/>
  <c r="I141" i="30"/>
  <c r="J141" i="30"/>
  <c r="I142" i="30"/>
  <c r="J142" i="30"/>
  <c r="I143" i="30"/>
  <c r="J143" i="30"/>
  <c r="I144" i="30"/>
  <c r="J144" i="30"/>
  <c r="I145" i="30"/>
  <c r="J145" i="30"/>
  <c r="I146" i="30"/>
  <c r="J146" i="30"/>
  <c r="I147" i="30"/>
  <c r="J147" i="30"/>
  <c r="I148" i="30"/>
  <c r="J148" i="30"/>
  <c r="I149" i="30"/>
  <c r="J149" i="30"/>
  <c r="I150" i="30"/>
  <c r="J150" i="30"/>
  <c r="I151" i="30"/>
  <c r="J151" i="30"/>
  <c r="I152" i="30"/>
  <c r="J152" i="30"/>
  <c r="I153" i="30"/>
  <c r="J153" i="30"/>
  <c r="I154" i="30"/>
  <c r="J154" i="30"/>
  <c r="I155" i="30"/>
  <c r="J155" i="30"/>
  <c r="I156" i="30"/>
  <c r="J156" i="30"/>
  <c r="I157" i="30"/>
  <c r="J157" i="30"/>
  <c r="I158" i="30"/>
  <c r="J158" i="30"/>
  <c r="I159" i="30"/>
  <c r="J159" i="30"/>
  <c r="I160" i="30"/>
  <c r="J160" i="30"/>
  <c r="I161" i="30"/>
  <c r="J161" i="30"/>
  <c r="I162" i="30"/>
  <c r="J162" i="30"/>
  <c r="I163" i="30"/>
  <c r="J163" i="30"/>
  <c r="I164" i="30"/>
  <c r="J164" i="30"/>
  <c r="I165" i="30"/>
  <c r="J165" i="30"/>
  <c r="I166" i="30"/>
  <c r="J166" i="30"/>
  <c r="I167" i="30"/>
  <c r="J167" i="30"/>
  <c r="I168" i="30"/>
  <c r="J168" i="30"/>
  <c r="I169" i="30"/>
  <c r="J169" i="30"/>
  <c r="I170" i="30"/>
  <c r="J170" i="30"/>
  <c r="I171" i="30"/>
  <c r="J171" i="30"/>
  <c r="I172" i="30"/>
  <c r="J172" i="30"/>
  <c r="I173" i="30"/>
  <c r="J173" i="30"/>
  <c r="I174" i="30"/>
  <c r="J174" i="30"/>
  <c r="I175" i="30"/>
  <c r="J175" i="30"/>
  <c r="I176" i="30"/>
  <c r="J176" i="30"/>
  <c r="I177" i="30"/>
  <c r="J177" i="30"/>
  <c r="I178" i="30"/>
  <c r="J178" i="30"/>
  <c r="I179" i="30"/>
  <c r="J179" i="30"/>
  <c r="I180" i="30"/>
  <c r="J180" i="30"/>
  <c r="I181" i="30"/>
  <c r="J181" i="30"/>
  <c r="I182" i="30"/>
  <c r="J182" i="30"/>
  <c r="I183" i="30"/>
  <c r="J183" i="30"/>
  <c r="I184" i="30"/>
  <c r="J184" i="30"/>
  <c r="I185" i="30"/>
  <c r="J185" i="30"/>
  <c r="I186" i="30"/>
  <c r="J186" i="30"/>
  <c r="I187" i="30"/>
  <c r="J187" i="30"/>
  <c r="I188" i="30"/>
  <c r="J188" i="30"/>
  <c r="I189" i="30"/>
  <c r="J189" i="30"/>
  <c r="I190" i="30"/>
  <c r="J190" i="30"/>
  <c r="I191" i="30"/>
  <c r="J191" i="30"/>
  <c r="I192" i="30"/>
  <c r="J192" i="30"/>
  <c r="I193" i="30"/>
  <c r="J193" i="30"/>
  <c r="I194" i="30"/>
  <c r="J194" i="30"/>
  <c r="I195" i="30"/>
  <c r="J195" i="30"/>
  <c r="I196" i="30"/>
  <c r="J196" i="30"/>
  <c r="I197" i="30"/>
  <c r="J197" i="30"/>
  <c r="I198" i="30"/>
  <c r="J198" i="30"/>
  <c r="I199" i="30"/>
  <c r="J199" i="30"/>
  <c r="I200" i="30"/>
  <c r="J200" i="30"/>
  <c r="I201" i="30"/>
  <c r="J201" i="30"/>
  <c r="I202" i="30"/>
  <c r="J202" i="30"/>
  <c r="I203" i="30"/>
  <c r="J203" i="30"/>
  <c r="I204" i="30"/>
  <c r="J204" i="30"/>
  <c r="I205" i="30"/>
  <c r="J205" i="30"/>
  <c r="I206" i="30"/>
  <c r="J206" i="30"/>
  <c r="I207" i="30"/>
  <c r="J207" i="30"/>
  <c r="I208" i="30"/>
  <c r="J208" i="30"/>
  <c r="I209" i="30"/>
  <c r="J209" i="30"/>
  <c r="I210" i="30"/>
  <c r="J210" i="30"/>
  <c r="I211" i="30"/>
  <c r="J211" i="30"/>
  <c r="I212" i="30"/>
  <c r="J212" i="30"/>
  <c r="I213" i="30"/>
  <c r="J213" i="30"/>
  <c r="I214" i="30"/>
  <c r="J214" i="30"/>
  <c r="I215" i="30"/>
  <c r="J215" i="30"/>
  <c r="I216" i="30"/>
  <c r="J216" i="30"/>
  <c r="I217" i="30"/>
  <c r="J217" i="30"/>
  <c r="I218" i="30"/>
  <c r="J218" i="30"/>
  <c r="I219" i="30"/>
  <c r="J219" i="30"/>
  <c r="I220" i="30"/>
  <c r="J220" i="30"/>
  <c r="I221" i="30"/>
  <c r="J221" i="30"/>
  <c r="I222" i="30"/>
  <c r="J222" i="30"/>
  <c r="I223" i="30"/>
  <c r="J223" i="30"/>
  <c r="I224" i="30"/>
  <c r="J224" i="30"/>
  <c r="I225" i="30"/>
  <c r="J225" i="30"/>
  <c r="I226" i="30"/>
  <c r="J226" i="30"/>
  <c r="I227" i="30"/>
  <c r="J227" i="30"/>
  <c r="I228" i="30"/>
  <c r="J228" i="30"/>
  <c r="I229" i="30"/>
  <c r="J229" i="30"/>
  <c r="I230" i="30"/>
  <c r="J230" i="30"/>
  <c r="I231" i="30"/>
  <c r="J231" i="30"/>
  <c r="I232" i="30"/>
  <c r="J232" i="30"/>
  <c r="I233" i="30"/>
  <c r="J233" i="30"/>
  <c r="I234" i="30"/>
  <c r="J234" i="30"/>
  <c r="I235" i="30"/>
  <c r="J235" i="30"/>
  <c r="I236" i="30"/>
  <c r="J236" i="30"/>
  <c r="I237" i="30"/>
  <c r="J237" i="30"/>
  <c r="I238" i="30"/>
  <c r="J238" i="30"/>
  <c r="I239" i="30"/>
  <c r="J239" i="30"/>
  <c r="I240" i="30"/>
  <c r="J240" i="30"/>
  <c r="I241" i="30"/>
  <c r="J241" i="30"/>
  <c r="I242" i="30"/>
  <c r="J242" i="30"/>
  <c r="I243" i="30"/>
  <c r="J243" i="30"/>
  <c r="I244" i="30"/>
  <c r="J244" i="30"/>
  <c r="I245" i="30"/>
  <c r="J245" i="30"/>
  <c r="I246" i="30"/>
  <c r="J246" i="30"/>
  <c r="I247" i="30"/>
  <c r="J247" i="30"/>
  <c r="I248" i="30"/>
  <c r="J248" i="30"/>
  <c r="I249" i="30"/>
  <c r="J249" i="30"/>
  <c r="I250" i="30"/>
  <c r="J250" i="30"/>
  <c r="I251" i="30"/>
  <c r="J251" i="30"/>
  <c r="I252" i="30"/>
  <c r="J252" i="30"/>
  <c r="I253" i="30"/>
  <c r="J253" i="30"/>
  <c r="I254" i="30"/>
  <c r="J254" i="30"/>
  <c r="I255" i="30"/>
  <c r="J255" i="30"/>
  <c r="I256" i="30"/>
  <c r="J256" i="30"/>
  <c r="I257" i="30"/>
  <c r="J257" i="30"/>
  <c r="I258" i="30"/>
  <c r="J258" i="30"/>
  <c r="I259" i="30"/>
  <c r="J259" i="30"/>
  <c r="I260" i="30"/>
  <c r="J260" i="30"/>
  <c r="I261" i="30"/>
  <c r="J261" i="30"/>
  <c r="I262" i="30"/>
  <c r="J262" i="30"/>
  <c r="I263" i="30"/>
  <c r="J263" i="30"/>
  <c r="I264" i="30"/>
  <c r="J264" i="30"/>
  <c r="I265" i="30"/>
  <c r="J265" i="30"/>
  <c r="I266" i="30"/>
  <c r="J266" i="30"/>
  <c r="I267" i="30"/>
  <c r="J267" i="30"/>
  <c r="I268" i="30"/>
  <c r="J268" i="30"/>
  <c r="I269" i="30"/>
  <c r="J269" i="30"/>
  <c r="I270" i="30"/>
  <c r="J270" i="30"/>
  <c r="I271" i="30"/>
  <c r="J271" i="30"/>
  <c r="I272" i="30"/>
  <c r="J272" i="30"/>
  <c r="I273" i="30"/>
  <c r="J273" i="30"/>
  <c r="I274" i="30"/>
  <c r="J274" i="30"/>
  <c r="I275" i="30"/>
  <c r="J275" i="30"/>
  <c r="I276" i="30"/>
  <c r="J276" i="30"/>
  <c r="I277" i="30"/>
  <c r="J277" i="30"/>
  <c r="I278" i="30"/>
  <c r="J278" i="30"/>
  <c r="I279" i="30"/>
  <c r="J279" i="30"/>
  <c r="I280" i="30"/>
  <c r="J280" i="30"/>
  <c r="I281" i="30"/>
  <c r="J281" i="30"/>
  <c r="I282" i="30"/>
  <c r="J282" i="30"/>
  <c r="I283" i="30"/>
  <c r="J283" i="30"/>
  <c r="I284" i="30"/>
  <c r="J284" i="30"/>
  <c r="I285" i="30"/>
  <c r="J285" i="30"/>
  <c r="I286" i="30"/>
  <c r="J286" i="30"/>
  <c r="I287" i="30"/>
  <c r="J287" i="30"/>
  <c r="I288" i="30"/>
  <c r="J288" i="30"/>
  <c r="I289" i="30"/>
  <c r="J289" i="30"/>
  <c r="I290" i="30"/>
  <c r="J290" i="30"/>
  <c r="I291" i="30"/>
  <c r="J291" i="30"/>
  <c r="I292" i="30"/>
  <c r="J292" i="30"/>
  <c r="I293" i="30"/>
  <c r="J293" i="30"/>
  <c r="I294" i="30"/>
  <c r="J294" i="30"/>
  <c r="I295" i="30"/>
  <c r="J295" i="30"/>
  <c r="I296" i="30"/>
  <c r="J296" i="30"/>
  <c r="I297" i="30"/>
  <c r="J297" i="30"/>
  <c r="I298" i="30"/>
  <c r="J298" i="30"/>
  <c r="I299" i="30"/>
  <c r="J299" i="30"/>
  <c r="I300" i="30"/>
  <c r="J300" i="30"/>
  <c r="I301" i="30"/>
  <c r="J301" i="30"/>
  <c r="I302" i="30"/>
  <c r="J302" i="30"/>
  <c r="I303" i="30"/>
  <c r="J303" i="30"/>
  <c r="I304" i="30"/>
  <c r="J304" i="30"/>
  <c r="I305" i="30"/>
  <c r="J305" i="30"/>
  <c r="I306" i="30"/>
  <c r="J306" i="30"/>
  <c r="I307" i="30"/>
  <c r="J307" i="30"/>
  <c r="I308" i="30"/>
  <c r="J308" i="30"/>
  <c r="I309" i="30"/>
  <c r="J309" i="30"/>
  <c r="I310" i="30"/>
  <c r="J310" i="30"/>
  <c r="I311" i="30"/>
  <c r="J311" i="30"/>
  <c r="I312" i="30"/>
  <c r="J312" i="30"/>
  <c r="I313" i="30"/>
  <c r="J313" i="30"/>
  <c r="I314" i="30"/>
  <c r="J314" i="30"/>
  <c r="I315" i="30"/>
  <c r="J315" i="30"/>
  <c r="I316" i="30"/>
  <c r="J316" i="30"/>
  <c r="I317" i="30"/>
  <c r="J317" i="30"/>
  <c r="I318" i="30"/>
  <c r="J318" i="30"/>
  <c r="I319" i="30"/>
  <c r="J319" i="30"/>
  <c r="I320" i="30"/>
  <c r="J320" i="30"/>
  <c r="I321" i="30"/>
  <c r="J321" i="30"/>
  <c r="I322" i="30"/>
  <c r="J322" i="30"/>
  <c r="I323" i="30"/>
  <c r="J323" i="30"/>
  <c r="I324" i="30"/>
  <c r="J324" i="30"/>
  <c r="I325" i="30"/>
  <c r="J325" i="30"/>
  <c r="I326" i="30"/>
  <c r="J326" i="30"/>
  <c r="I327" i="30"/>
  <c r="J327" i="30"/>
  <c r="I328" i="30"/>
  <c r="J328" i="30"/>
  <c r="I329" i="30"/>
  <c r="J329" i="30"/>
  <c r="I330" i="30"/>
  <c r="J330" i="30"/>
  <c r="I331" i="30"/>
  <c r="J331" i="30"/>
  <c r="I332" i="30"/>
  <c r="J332" i="30"/>
  <c r="I333" i="30"/>
  <c r="J333" i="30"/>
  <c r="I334" i="30"/>
  <c r="J334" i="30"/>
  <c r="I335" i="30"/>
  <c r="J335" i="30"/>
  <c r="I336" i="30"/>
  <c r="J336" i="30"/>
  <c r="I337" i="30"/>
  <c r="J337" i="30"/>
  <c r="I338" i="30"/>
  <c r="J338" i="30"/>
  <c r="I339" i="30"/>
  <c r="J339" i="30"/>
  <c r="I340" i="30"/>
  <c r="J340" i="30"/>
  <c r="I341" i="30"/>
  <c r="J341" i="30"/>
  <c r="I342" i="30"/>
  <c r="J342" i="30"/>
  <c r="I343" i="30"/>
  <c r="J343" i="30"/>
  <c r="I344" i="30"/>
  <c r="J344" i="30"/>
  <c r="I345" i="30"/>
  <c r="J345" i="30"/>
  <c r="I346" i="30"/>
  <c r="J346" i="30"/>
  <c r="I347" i="30"/>
  <c r="J347" i="30"/>
  <c r="I348" i="30"/>
  <c r="J348" i="30"/>
  <c r="I349" i="30"/>
  <c r="J349" i="30"/>
  <c r="I350" i="30"/>
  <c r="J350" i="30"/>
  <c r="I351" i="30"/>
  <c r="J351" i="30"/>
  <c r="I352" i="30"/>
  <c r="J352" i="30"/>
  <c r="I353" i="30"/>
  <c r="J353" i="30"/>
  <c r="I354" i="30"/>
  <c r="J354" i="30"/>
  <c r="I355" i="30"/>
  <c r="J355" i="30"/>
  <c r="I356" i="30"/>
  <c r="J356" i="30"/>
  <c r="I357" i="30"/>
  <c r="J357" i="30"/>
  <c r="I358" i="30"/>
  <c r="J358" i="30"/>
  <c r="I359" i="30"/>
  <c r="J359" i="30"/>
  <c r="I360" i="30"/>
  <c r="J360" i="30"/>
  <c r="I361" i="30"/>
  <c r="J361" i="30"/>
  <c r="I362" i="30"/>
  <c r="J362" i="30"/>
  <c r="I363" i="30"/>
  <c r="J363" i="30"/>
  <c r="I364" i="30"/>
  <c r="J364" i="30"/>
  <c r="I365" i="30"/>
  <c r="J365" i="30"/>
  <c r="I366" i="30"/>
  <c r="J366" i="30"/>
  <c r="I367" i="30"/>
  <c r="J367" i="30"/>
  <c r="I368" i="30"/>
  <c r="J368" i="30"/>
  <c r="I369" i="30"/>
  <c r="J369" i="30"/>
  <c r="I370" i="30"/>
  <c r="J370" i="30"/>
  <c r="I371" i="30"/>
  <c r="J371" i="30"/>
  <c r="I372" i="30"/>
  <c r="J372" i="30"/>
  <c r="I373" i="30"/>
  <c r="J373" i="30"/>
  <c r="I374" i="30"/>
  <c r="J374" i="30"/>
  <c r="I375" i="30"/>
  <c r="J375" i="30"/>
  <c r="I376" i="30"/>
  <c r="J376" i="30"/>
  <c r="I377" i="30"/>
  <c r="J377" i="30"/>
  <c r="I378" i="30"/>
  <c r="J378" i="30"/>
  <c r="I379" i="30"/>
  <c r="J379" i="30"/>
  <c r="I380" i="30"/>
  <c r="J380" i="30"/>
  <c r="I381" i="30"/>
  <c r="J381" i="30"/>
  <c r="I382" i="30"/>
  <c r="J382" i="30"/>
  <c r="I383" i="30"/>
  <c r="J383" i="30"/>
  <c r="I384" i="30"/>
  <c r="J384" i="30"/>
  <c r="I385" i="30"/>
  <c r="J385" i="30"/>
  <c r="I386" i="30"/>
  <c r="J386" i="30"/>
  <c r="I387" i="30"/>
  <c r="J387" i="30"/>
  <c r="I388" i="30"/>
  <c r="J388" i="30"/>
  <c r="I389" i="30"/>
  <c r="J389" i="30"/>
  <c r="I390" i="30"/>
  <c r="J390" i="30"/>
  <c r="I391" i="30"/>
  <c r="J391" i="30"/>
  <c r="I392" i="30"/>
  <c r="J392" i="30"/>
  <c r="I393" i="30"/>
  <c r="J393" i="30"/>
  <c r="I394" i="30"/>
  <c r="J394" i="30"/>
  <c r="I395" i="30"/>
  <c r="J395" i="30"/>
  <c r="I396" i="30"/>
  <c r="J396" i="30"/>
  <c r="I397" i="30"/>
  <c r="J397" i="30"/>
  <c r="I398" i="30"/>
  <c r="J398" i="30"/>
  <c r="I399" i="30"/>
  <c r="J399" i="30"/>
  <c r="I400" i="30"/>
  <c r="J400" i="30"/>
  <c r="I401" i="30"/>
  <c r="J401" i="30"/>
  <c r="I402" i="30"/>
  <c r="J402" i="30"/>
  <c r="I403" i="30"/>
  <c r="J403" i="30"/>
  <c r="I404" i="30"/>
  <c r="J404" i="30"/>
  <c r="I405" i="30"/>
  <c r="J405" i="30"/>
  <c r="I406" i="30"/>
  <c r="J406" i="30"/>
  <c r="I407" i="30"/>
  <c r="J407" i="30"/>
  <c r="I408" i="30"/>
  <c r="J408" i="30"/>
  <c r="I409" i="30"/>
  <c r="J409" i="30"/>
  <c r="I410" i="30"/>
  <c r="J410" i="30"/>
  <c r="I411" i="30"/>
  <c r="J411" i="30"/>
  <c r="I412" i="30"/>
  <c r="J412" i="30"/>
  <c r="I413" i="30"/>
  <c r="J413" i="30"/>
  <c r="I414" i="30"/>
  <c r="J414" i="30"/>
  <c r="I415" i="30"/>
  <c r="J415" i="30"/>
  <c r="I416" i="30"/>
  <c r="J416" i="30"/>
  <c r="I417" i="30"/>
  <c r="J417" i="30"/>
  <c r="I418" i="30"/>
  <c r="J418" i="30"/>
  <c r="I419" i="30"/>
  <c r="J419" i="30"/>
  <c r="I420" i="30"/>
  <c r="J420" i="30"/>
  <c r="I421" i="30"/>
  <c r="J421" i="30"/>
  <c r="I422" i="30"/>
  <c r="J422" i="30"/>
  <c r="I423" i="30"/>
  <c r="J423" i="30"/>
  <c r="I424" i="30"/>
  <c r="J424" i="30"/>
  <c r="I425" i="30"/>
  <c r="J425" i="30"/>
  <c r="I426" i="30"/>
  <c r="J426" i="30"/>
  <c r="I427" i="30"/>
  <c r="J427" i="30"/>
  <c r="I428" i="30"/>
  <c r="J428" i="30"/>
  <c r="I429" i="30"/>
  <c r="J429" i="30"/>
  <c r="I430" i="30"/>
  <c r="J430" i="30"/>
  <c r="I431" i="30"/>
  <c r="J431" i="30"/>
  <c r="I432" i="30"/>
  <c r="J432" i="30"/>
  <c r="I433" i="30"/>
  <c r="J433" i="30"/>
  <c r="I434" i="30"/>
  <c r="J434" i="30"/>
  <c r="I435" i="30"/>
  <c r="J435" i="30"/>
  <c r="I436" i="30"/>
  <c r="J436" i="30"/>
  <c r="I437" i="30"/>
  <c r="J437" i="30"/>
  <c r="I438" i="30"/>
  <c r="J438" i="30"/>
  <c r="I439" i="30"/>
  <c r="J439" i="30"/>
  <c r="I440" i="30"/>
  <c r="J440" i="30"/>
  <c r="I441" i="30"/>
  <c r="J441" i="30"/>
  <c r="I442" i="30"/>
  <c r="J442" i="30"/>
  <c r="I443" i="30"/>
  <c r="J443" i="30"/>
  <c r="I444" i="30"/>
  <c r="J444" i="30"/>
  <c r="I445" i="30"/>
  <c r="J445" i="30"/>
  <c r="I446" i="30"/>
  <c r="J446" i="30"/>
  <c r="I447" i="30"/>
  <c r="J447" i="30"/>
  <c r="I448" i="30"/>
  <c r="J448" i="30"/>
  <c r="I449" i="30"/>
  <c r="J449" i="30"/>
  <c r="I450" i="30"/>
  <c r="J450" i="30"/>
  <c r="I451" i="30"/>
  <c r="J451" i="30"/>
  <c r="I452" i="30"/>
  <c r="J452" i="30"/>
  <c r="I453" i="30"/>
  <c r="J453" i="30"/>
  <c r="I454" i="30"/>
  <c r="J454" i="30"/>
  <c r="I455" i="30"/>
  <c r="J455" i="30"/>
  <c r="I456" i="30"/>
  <c r="J456" i="30"/>
  <c r="I457" i="30"/>
  <c r="J457" i="30"/>
  <c r="I458" i="30"/>
  <c r="J458" i="30"/>
  <c r="I459" i="30"/>
  <c r="J459" i="30"/>
  <c r="I460" i="30"/>
  <c r="J460" i="30"/>
  <c r="I461" i="30"/>
  <c r="J461" i="30"/>
  <c r="I462" i="30"/>
  <c r="J462" i="30"/>
  <c r="I463" i="30"/>
  <c r="J463" i="30"/>
  <c r="I464" i="30"/>
  <c r="J464" i="30"/>
  <c r="I465" i="30"/>
  <c r="J465" i="30"/>
  <c r="I466" i="30"/>
  <c r="J466" i="30"/>
  <c r="I467" i="30"/>
  <c r="J467" i="30"/>
  <c r="I468" i="30"/>
  <c r="J468" i="30"/>
  <c r="I469" i="30"/>
  <c r="J469" i="30"/>
  <c r="I470" i="30"/>
  <c r="J470" i="30"/>
  <c r="I471" i="30"/>
  <c r="J471" i="30"/>
  <c r="I472" i="30"/>
  <c r="J472" i="30"/>
  <c r="I473" i="30"/>
  <c r="J473" i="30"/>
  <c r="I474" i="30"/>
  <c r="J474" i="30"/>
  <c r="I475" i="30"/>
  <c r="J475" i="30"/>
  <c r="I476" i="30"/>
  <c r="J476" i="30"/>
  <c r="I477" i="30"/>
  <c r="J477" i="30"/>
  <c r="I478" i="30"/>
  <c r="J478" i="30"/>
  <c r="I479" i="30"/>
  <c r="J479" i="30"/>
  <c r="I480" i="30"/>
  <c r="J480" i="30"/>
  <c r="I481" i="30"/>
  <c r="J481" i="30"/>
  <c r="I482" i="30"/>
  <c r="J482" i="30"/>
  <c r="I483" i="30"/>
  <c r="J483" i="30"/>
  <c r="I484" i="30"/>
  <c r="J484" i="30"/>
  <c r="I485" i="30"/>
  <c r="J485" i="30"/>
  <c r="I486" i="30"/>
  <c r="J486" i="30"/>
  <c r="I487" i="30"/>
  <c r="J487" i="30"/>
  <c r="I488" i="30"/>
  <c r="J488" i="30"/>
  <c r="I489" i="30"/>
  <c r="J489" i="30"/>
  <c r="I490" i="30"/>
  <c r="J490" i="30"/>
  <c r="I491" i="30"/>
  <c r="J491" i="30"/>
  <c r="I492" i="30"/>
  <c r="J492" i="30"/>
  <c r="I493" i="30"/>
  <c r="J493" i="30"/>
  <c r="I494" i="30"/>
  <c r="J494" i="30"/>
  <c r="I495" i="30"/>
  <c r="J495" i="30"/>
  <c r="I496" i="30"/>
  <c r="J496" i="30"/>
  <c r="I497" i="30"/>
  <c r="J497" i="30"/>
  <c r="I498" i="30"/>
  <c r="J498" i="30"/>
  <c r="I499" i="30"/>
  <c r="J499" i="30"/>
  <c r="I500" i="30"/>
  <c r="J500" i="30"/>
  <c r="I501" i="30"/>
  <c r="J501" i="30"/>
  <c r="I502" i="30"/>
  <c r="J502" i="30"/>
  <c r="I503" i="30"/>
  <c r="J503" i="30"/>
  <c r="I504" i="30"/>
  <c r="J504" i="30"/>
  <c r="I505" i="30"/>
  <c r="J505" i="30"/>
  <c r="I506" i="30"/>
  <c r="J506" i="30"/>
  <c r="I507" i="30"/>
  <c r="J507" i="30"/>
  <c r="I508" i="30"/>
  <c r="J508" i="30"/>
  <c r="I509" i="30"/>
  <c r="J509" i="30"/>
  <c r="I510" i="30"/>
  <c r="J510" i="30"/>
  <c r="I511" i="30"/>
  <c r="J511" i="30"/>
  <c r="I512" i="30"/>
  <c r="J512" i="30"/>
  <c r="I513" i="30"/>
  <c r="J513" i="30"/>
  <c r="I514" i="30"/>
  <c r="J514" i="30"/>
  <c r="I515" i="30"/>
  <c r="J515" i="30"/>
  <c r="I516" i="30"/>
  <c r="J516" i="30"/>
  <c r="I517" i="30"/>
  <c r="J517" i="30"/>
  <c r="I518" i="30"/>
  <c r="J518" i="30"/>
  <c r="I519" i="30"/>
  <c r="J519" i="30"/>
  <c r="I520" i="30"/>
  <c r="J520" i="30"/>
  <c r="I521" i="30"/>
  <c r="J521" i="30"/>
  <c r="I522" i="30"/>
  <c r="J522" i="30"/>
  <c r="I523" i="30"/>
  <c r="J523" i="30"/>
  <c r="I524" i="30"/>
  <c r="J524" i="30"/>
  <c r="I525" i="30"/>
  <c r="J525" i="30"/>
  <c r="I526" i="30"/>
  <c r="J526" i="30"/>
  <c r="I527" i="30"/>
  <c r="J527" i="30"/>
  <c r="I528" i="30"/>
  <c r="J528" i="30"/>
  <c r="I529" i="30"/>
  <c r="J529" i="30"/>
  <c r="I530" i="30"/>
  <c r="J530" i="30"/>
  <c r="I531" i="30"/>
  <c r="J531" i="30"/>
  <c r="I532" i="30"/>
  <c r="J532" i="30"/>
  <c r="I533" i="30"/>
  <c r="J533" i="30"/>
  <c r="I534" i="30"/>
  <c r="J534" i="30"/>
  <c r="I535" i="30"/>
  <c r="J535" i="30"/>
  <c r="I536" i="30"/>
  <c r="J536" i="30"/>
  <c r="I537" i="30"/>
  <c r="J537" i="30"/>
  <c r="I538" i="30"/>
  <c r="J538" i="30"/>
  <c r="I539" i="30"/>
  <c r="J539" i="30"/>
  <c r="I540" i="30"/>
  <c r="J540" i="30"/>
  <c r="I541" i="30"/>
  <c r="J541" i="30"/>
  <c r="I542" i="30"/>
  <c r="J542" i="30"/>
  <c r="I543" i="30"/>
  <c r="J543" i="30"/>
  <c r="I544" i="30"/>
  <c r="J544" i="30"/>
  <c r="I545" i="30"/>
  <c r="J545" i="30"/>
  <c r="I546" i="30"/>
  <c r="J546" i="30"/>
  <c r="I547" i="30"/>
  <c r="J547" i="30"/>
  <c r="I548" i="30"/>
  <c r="J548" i="30"/>
  <c r="I549" i="30"/>
  <c r="J549" i="30"/>
  <c r="I550" i="30"/>
  <c r="J550" i="30"/>
  <c r="I551" i="30"/>
  <c r="J551" i="30"/>
  <c r="I552" i="30"/>
  <c r="J552" i="30"/>
  <c r="I553" i="30"/>
  <c r="J553" i="30"/>
  <c r="I554" i="30"/>
  <c r="J554" i="30"/>
  <c r="I555" i="30"/>
  <c r="J555" i="30"/>
  <c r="I556" i="30"/>
  <c r="J556" i="30"/>
  <c r="I557" i="30"/>
  <c r="J557" i="30"/>
  <c r="I558" i="30"/>
  <c r="J558" i="30"/>
  <c r="I559" i="30"/>
  <c r="J559" i="30"/>
  <c r="I560" i="30"/>
  <c r="J560" i="30"/>
  <c r="I561" i="30"/>
  <c r="J561" i="30"/>
  <c r="I562" i="30"/>
  <c r="J562" i="30"/>
  <c r="I563" i="30"/>
  <c r="J563" i="30"/>
  <c r="I564" i="30"/>
  <c r="J564" i="30"/>
  <c r="I565" i="30"/>
  <c r="J565" i="30"/>
  <c r="I566" i="30"/>
  <c r="J566" i="30"/>
  <c r="I567" i="30"/>
  <c r="J567" i="30"/>
  <c r="I568" i="30"/>
  <c r="J568" i="30"/>
  <c r="I569" i="30"/>
  <c r="J569" i="30"/>
  <c r="I570" i="30"/>
  <c r="J570" i="30"/>
  <c r="I571" i="30"/>
  <c r="J571" i="30"/>
  <c r="I572" i="30"/>
  <c r="J572" i="30"/>
  <c r="I573" i="30"/>
  <c r="J573" i="30"/>
  <c r="I574" i="30"/>
  <c r="J574" i="30"/>
  <c r="I575" i="30"/>
  <c r="J575" i="30"/>
  <c r="I576" i="30"/>
  <c r="J576" i="30"/>
  <c r="I577" i="30"/>
  <c r="J577" i="30"/>
  <c r="I578" i="30"/>
  <c r="J578" i="30"/>
  <c r="I579" i="30"/>
  <c r="J579" i="30"/>
  <c r="I580" i="30"/>
  <c r="J580" i="30"/>
  <c r="I581" i="30"/>
  <c r="J581" i="30"/>
  <c r="I582" i="30"/>
  <c r="J582" i="30"/>
  <c r="I583" i="30"/>
  <c r="J583" i="30"/>
  <c r="I584" i="30"/>
  <c r="J584" i="30"/>
  <c r="I585" i="30"/>
  <c r="J585" i="30"/>
  <c r="I586" i="30"/>
  <c r="J586" i="30"/>
  <c r="I587" i="30"/>
  <c r="J587" i="30"/>
  <c r="I588" i="30"/>
  <c r="J588" i="30"/>
  <c r="I589" i="30"/>
  <c r="J589" i="30"/>
  <c r="I590" i="30"/>
  <c r="J590" i="30"/>
  <c r="I591" i="30"/>
  <c r="J591" i="30"/>
  <c r="I592" i="30"/>
  <c r="J592" i="30"/>
  <c r="I593" i="30"/>
  <c r="J593" i="30"/>
  <c r="I594" i="30"/>
  <c r="J594" i="30"/>
  <c r="I595" i="30"/>
  <c r="J595" i="30"/>
  <c r="I596" i="30"/>
  <c r="J596" i="30"/>
  <c r="I597" i="30"/>
  <c r="J597" i="30"/>
  <c r="I598" i="30"/>
  <c r="J598" i="30"/>
  <c r="I599" i="30"/>
  <c r="J599" i="30"/>
  <c r="I600" i="30"/>
  <c r="J600" i="30"/>
  <c r="I601" i="30"/>
  <c r="J601" i="30"/>
  <c r="I602" i="30"/>
  <c r="J602" i="30"/>
  <c r="I603" i="30"/>
  <c r="J603" i="30"/>
  <c r="I604" i="30"/>
  <c r="J604" i="30"/>
  <c r="I605" i="30"/>
  <c r="J605" i="30"/>
  <c r="I606" i="30"/>
  <c r="J606" i="30"/>
  <c r="I607" i="30"/>
  <c r="J607" i="30"/>
  <c r="I608" i="30"/>
  <c r="J608" i="30"/>
  <c r="I609" i="30"/>
  <c r="J609" i="30"/>
  <c r="I610" i="30"/>
  <c r="J610" i="30"/>
  <c r="I611" i="30"/>
  <c r="J611" i="30"/>
  <c r="I612" i="30"/>
  <c r="J612" i="30"/>
  <c r="I613" i="30"/>
  <c r="J613" i="30"/>
  <c r="I614" i="30"/>
  <c r="J614" i="30"/>
  <c r="I615" i="30"/>
  <c r="J615" i="30"/>
  <c r="I616" i="30"/>
  <c r="J616" i="30"/>
  <c r="I617" i="30"/>
  <c r="J617" i="30"/>
  <c r="I618" i="30"/>
  <c r="J618" i="30"/>
  <c r="I619" i="30"/>
  <c r="J619" i="30"/>
  <c r="I620" i="30"/>
  <c r="J620" i="30"/>
  <c r="I621" i="30"/>
  <c r="J621" i="30"/>
  <c r="I622" i="30"/>
  <c r="J622" i="30"/>
  <c r="I623" i="30"/>
  <c r="J623" i="30"/>
  <c r="I624" i="30"/>
  <c r="J624" i="30"/>
  <c r="I625" i="30"/>
  <c r="J625" i="30"/>
  <c r="I626" i="30"/>
  <c r="J626" i="30"/>
  <c r="I627" i="30"/>
  <c r="J627" i="30"/>
  <c r="I628" i="30"/>
  <c r="J628" i="30"/>
  <c r="I629" i="30"/>
  <c r="J629" i="30"/>
  <c r="I630" i="30"/>
  <c r="J630" i="30"/>
  <c r="I631" i="30"/>
  <c r="J631" i="30"/>
  <c r="I632" i="30"/>
  <c r="J632" i="30"/>
  <c r="I633" i="30"/>
  <c r="J633" i="30"/>
  <c r="I634" i="30"/>
  <c r="J634" i="30"/>
  <c r="I635" i="30"/>
  <c r="J635" i="30"/>
  <c r="I636" i="30"/>
  <c r="J636" i="30"/>
  <c r="I637" i="30"/>
  <c r="J637" i="30"/>
  <c r="I638" i="30"/>
  <c r="J638" i="30"/>
  <c r="I639" i="30"/>
  <c r="J639" i="30"/>
  <c r="I640" i="30"/>
  <c r="J640" i="30"/>
  <c r="I641" i="30"/>
  <c r="J641" i="30"/>
  <c r="I642" i="30"/>
  <c r="J642" i="30"/>
  <c r="I643" i="30"/>
  <c r="J643" i="30"/>
  <c r="I644" i="30"/>
  <c r="J644" i="30"/>
  <c r="I645" i="30"/>
  <c r="J645" i="30"/>
  <c r="I646" i="30"/>
  <c r="J646" i="30"/>
  <c r="I647" i="30"/>
  <c r="J647" i="30"/>
  <c r="I648" i="30"/>
  <c r="J648" i="30"/>
  <c r="I649" i="30"/>
  <c r="J649" i="30"/>
  <c r="I650" i="30"/>
  <c r="J650" i="30"/>
  <c r="I651" i="30"/>
  <c r="J651" i="30"/>
  <c r="I652" i="30"/>
  <c r="J652" i="30"/>
  <c r="I653" i="30"/>
  <c r="J653" i="30"/>
  <c r="I654" i="30"/>
  <c r="J654" i="30"/>
  <c r="I655" i="30"/>
  <c r="J655" i="30"/>
  <c r="I656" i="30"/>
  <c r="J656" i="30"/>
  <c r="I657" i="30"/>
  <c r="J657" i="30"/>
  <c r="I658" i="30"/>
  <c r="J658" i="30"/>
  <c r="I659" i="30"/>
  <c r="J659" i="30"/>
  <c r="I660" i="30"/>
  <c r="J660" i="30"/>
  <c r="I661" i="30"/>
  <c r="J661" i="30"/>
  <c r="I662" i="30"/>
  <c r="J662" i="30"/>
  <c r="I663" i="30"/>
  <c r="J663" i="30"/>
  <c r="I664" i="30"/>
  <c r="J664" i="30"/>
  <c r="I665" i="30"/>
  <c r="J665" i="30"/>
  <c r="I666" i="30"/>
  <c r="J666" i="30"/>
  <c r="I667" i="30"/>
  <c r="J667" i="30"/>
  <c r="I668" i="30"/>
  <c r="J668" i="30"/>
  <c r="I669" i="30"/>
  <c r="J669" i="30"/>
  <c r="I670" i="30"/>
  <c r="J670" i="30"/>
  <c r="I671" i="30"/>
  <c r="J671" i="30"/>
  <c r="I672" i="30"/>
  <c r="J672" i="30"/>
  <c r="I673" i="30"/>
  <c r="J673" i="30"/>
  <c r="I674" i="30"/>
  <c r="J674" i="30"/>
  <c r="I675" i="30"/>
  <c r="J675" i="30"/>
  <c r="I676" i="30"/>
  <c r="J676" i="30"/>
  <c r="I677" i="30"/>
  <c r="J677" i="30"/>
  <c r="I678" i="30"/>
  <c r="J678" i="30"/>
  <c r="I679" i="30"/>
  <c r="J679" i="30"/>
  <c r="I680" i="30"/>
  <c r="J680" i="30"/>
  <c r="I681" i="30"/>
  <c r="J681" i="30"/>
  <c r="I682" i="30"/>
  <c r="J682" i="30"/>
  <c r="I683" i="30"/>
  <c r="J683" i="30"/>
  <c r="I684" i="30"/>
  <c r="J684" i="30"/>
  <c r="I685" i="30"/>
  <c r="J685" i="30"/>
  <c r="I686" i="30"/>
  <c r="J686" i="30"/>
  <c r="I687" i="30"/>
  <c r="J687" i="30"/>
  <c r="I688" i="30"/>
  <c r="J688" i="30"/>
  <c r="I689" i="30"/>
  <c r="J689" i="30"/>
  <c r="I690" i="30"/>
  <c r="J690" i="30"/>
  <c r="I691" i="30"/>
  <c r="J691" i="30"/>
  <c r="I692" i="30"/>
  <c r="J692" i="30"/>
  <c r="I693" i="30"/>
  <c r="J693" i="30"/>
  <c r="I694" i="30"/>
  <c r="J694" i="30"/>
  <c r="I695" i="30"/>
  <c r="J695" i="30"/>
  <c r="I696" i="30"/>
  <c r="J696" i="30"/>
  <c r="I697" i="30"/>
  <c r="J697" i="30"/>
  <c r="I698" i="30"/>
  <c r="J698" i="30"/>
  <c r="I699" i="30"/>
  <c r="J699" i="30"/>
  <c r="I700" i="30"/>
  <c r="J700" i="30"/>
  <c r="I701" i="30"/>
  <c r="J701" i="30"/>
  <c r="I702" i="30"/>
  <c r="J702" i="30"/>
  <c r="I703" i="30"/>
  <c r="J703" i="30"/>
  <c r="I704" i="30"/>
  <c r="J704" i="30"/>
  <c r="I705" i="30"/>
  <c r="J705" i="30"/>
  <c r="I706" i="30"/>
  <c r="J706" i="30"/>
  <c r="I707" i="30"/>
  <c r="J707" i="30"/>
  <c r="I708" i="30"/>
  <c r="J708" i="30"/>
  <c r="I709" i="30"/>
  <c r="J709" i="30"/>
  <c r="I710" i="30"/>
  <c r="J710" i="30"/>
  <c r="I711" i="30"/>
  <c r="J711" i="30"/>
  <c r="I712" i="30"/>
  <c r="J712" i="30"/>
  <c r="I713" i="30"/>
  <c r="J713" i="30"/>
  <c r="I714" i="30"/>
  <c r="J714" i="30"/>
  <c r="I715" i="30"/>
  <c r="J715" i="30"/>
  <c r="I716" i="30"/>
  <c r="J716" i="30"/>
  <c r="I717" i="30"/>
  <c r="J717" i="30"/>
  <c r="I718" i="30"/>
  <c r="J718" i="30"/>
  <c r="I719" i="30"/>
  <c r="J719" i="30"/>
  <c r="I720" i="30"/>
  <c r="J720" i="30"/>
  <c r="I721" i="30"/>
  <c r="J721" i="30"/>
  <c r="I722" i="30"/>
  <c r="J722" i="30"/>
  <c r="I723" i="30"/>
  <c r="J723" i="30"/>
  <c r="I724" i="30"/>
  <c r="J724" i="30"/>
  <c r="I725" i="30"/>
  <c r="J725" i="30"/>
  <c r="I726" i="30"/>
  <c r="J726" i="30"/>
  <c r="I727" i="30"/>
  <c r="J727" i="30"/>
  <c r="I728" i="30"/>
  <c r="J728" i="30"/>
  <c r="I729" i="30"/>
  <c r="J729" i="30"/>
  <c r="I730" i="30"/>
  <c r="J730" i="30"/>
  <c r="I731" i="30"/>
  <c r="J731" i="30"/>
  <c r="I732" i="30"/>
  <c r="J732" i="30"/>
  <c r="I733" i="30"/>
  <c r="J733" i="30"/>
  <c r="I734" i="30"/>
  <c r="J734" i="30"/>
  <c r="I735" i="30"/>
  <c r="J735" i="30"/>
  <c r="I736" i="30"/>
  <c r="J736" i="30"/>
  <c r="I737" i="30"/>
  <c r="J737" i="30"/>
  <c r="I738" i="30"/>
  <c r="J738" i="30"/>
  <c r="I739" i="30"/>
  <c r="J739" i="30"/>
  <c r="I740" i="30"/>
  <c r="J740" i="30"/>
  <c r="I741" i="30"/>
  <c r="J741" i="30"/>
  <c r="I742" i="30"/>
  <c r="J742" i="30"/>
  <c r="I743" i="30"/>
  <c r="J743" i="30"/>
  <c r="I744" i="30"/>
  <c r="J744" i="30"/>
  <c r="I745" i="30"/>
  <c r="J745" i="30"/>
  <c r="I746" i="30"/>
  <c r="J746" i="30"/>
  <c r="I747" i="30"/>
  <c r="J747" i="30"/>
  <c r="I748" i="30"/>
  <c r="J748" i="30"/>
  <c r="I749" i="30"/>
  <c r="J749" i="30"/>
  <c r="I750" i="30"/>
  <c r="J750" i="30"/>
  <c r="I751" i="30"/>
  <c r="J751" i="30"/>
  <c r="I752" i="30"/>
  <c r="J752" i="30"/>
  <c r="I753" i="30"/>
  <c r="J753" i="30"/>
  <c r="I754" i="30"/>
  <c r="J754" i="30"/>
  <c r="I755" i="30"/>
  <c r="J755" i="30"/>
  <c r="I756" i="30"/>
  <c r="J756" i="30"/>
  <c r="I757" i="30"/>
  <c r="J757" i="30"/>
  <c r="I758" i="30"/>
  <c r="J758" i="30"/>
  <c r="I759" i="30"/>
  <c r="J759" i="30"/>
  <c r="I760" i="30"/>
  <c r="J760" i="30"/>
  <c r="I761" i="30"/>
  <c r="J761" i="30"/>
  <c r="I762" i="30"/>
  <c r="J762" i="30"/>
  <c r="I763" i="30"/>
  <c r="J763" i="30"/>
  <c r="I764" i="30"/>
  <c r="J764" i="30"/>
  <c r="I765" i="30"/>
  <c r="J765" i="30"/>
  <c r="I766" i="30"/>
  <c r="J766" i="30"/>
  <c r="I767" i="30"/>
  <c r="J767" i="30"/>
  <c r="I768" i="30"/>
  <c r="J768" i="30"/>
  <c r="I769" i="30"/>
  <c r="J769" i="30"/>
  <c r="I770" i="30"/>
  <c r="J770" i="30"/>
  <c r="I771" i="30"/>
  <c r="J771" i="30"/>
  <c r="I772" i="30"/>
  <c r="J772" i="30"/>
  <c r="I773" i="30"/>
  <c r="J773" i="30"/>
  <c r="I774" i="30"/>
  <c r="J774" i="30"/>
  <c r="I775" i="30"/>
  <c r="J775" i="30"/>
  <c r="I776" i="30"/>
  <c r="J776" i="30"/>
  <c r="I777" i="30"/>
  <c r="J777" i="30"/>
  <c r="I778" i="30"/>
  <c r="J778" i="30"/>
  <c r="I779" i="30"/>
  <c r="J779" i="30"/>
  <c r="I780" i="30"/>
  <c r="J780" i="30"/>
  <c r="I781" i="30"/>
  <c r="J781" i="30"/>
  <c r="I782" i="30"/>
  <c r="J782" i="30"/>
  <c r="I783" i="30"/>
  <c r="J783" i="30"/>
  <c r="I784" i="30"/>
  <c r="J784" i="30"/>
  <c r="I785" i="30"/>
  <c r="J785" i="30"/>
  <c r="I786" i="30"/>
  <c r="J786" i="30"/>
  <c r="I787" i="30"/>
  <c r="J787" i="30"/>
  <c r="I788" i="30"/>
  <c r="J788" i="30"/>
  <c r="I789" i="30"/>
  <c r="J789" i="30"/>
  <c r="I790" i="30"/>
  <c r="J790" i="30"/>
  <c r="I791" i="30"/>
  <c r="J791" i="30"/>
  <c r="I792" i="30"/>
  <c r="J792" i="30"/>
  <c r="I793" i="30"/>
  <c r="J793" i="30"/>
  <c r="I794" i="30"/>
  <c r="J794" i="30"/>
  <c r="I795" i="30"/>
  <c r="J795" i="30"/>
  <c r="I796" i="30"/>
  <c r="J796" i="30"/>
  <c r="I797" i="30"/>
  <c r="J797" i="30"/>
  <c r="I798" i="30"/>
  <c r="J798" i="30"/>
  <c r="I799" i="30"/>
  <c r="J799" i="30"/>
  <c r="I800" i="30"/>
  <c r="J800" i="30"/>
  <c r="I801" i="30"/>
  <c r="J801" i="30"/>
  <c r="I802" i="30"/>
  <c r="J802" i="30"/>
  <c r="I803" i="30"/>
  <c r="J803" i="30"/>
  <c r="I804" i="30"/>
  <c r="J804" i="30"/>
  <c r="I805" i="30"/>
  <c r="J805" i="30"/>
  <c r="I806" i="30"/>
  <c r="J806" i="30"/>
  <c r="I807" i="30"/>
  <c r="J807" i="30"/>
  <c r="I808" i="30"/>
  <c r="J808" i="30"/>
  <c r="I809" i="30"/>
  <c r="J809" i="30"/>
  <c r="I810" i="30"/>
  <c r="J810" i="30"/>
  <c r="I811" i="30"/>
  <c r="J811" i="30"/>
  <c r="I812" i="30"/>
  <c r="J812" i="30"/>
  <c r="I813" i="30"/>
  <c r="J813" i="30"/>
  <c r="I814" i="30"/>
  <c r="J814" i="30"/>
  <c r="I815" i="30"/>
  <c r="J815" i="30"/>
  <c r="I816" i="30"/>
  <c r="J816" i="30"/>
  <c r="I817" i="30"/>
  <c r="J817" i="30"/>
  <c r="I818" i="30"/>
  <c r="J818" i="30"/>
  <c r="I819" i="30"/>
  <c r="J819" i="30"/>
  <c r="I820" i="30"/>
  <c r="J820" i="30"/>
  <c r="I821" i="30"/>
  <c r="J821" i="30"/>
  <c r="I822" i="30"/>
  <c r="J822" i="30"/>
  <c r="I823" i="30"/>
  <c r="J823" i="30"/>
  <c r="I824" i="30"/>
  <c r="J824" i="30"/>
  <c r="I825" i="30"/>
  <c r="J825" i="30"/>
  <c r="I826" i="30"/>
  <c r="J826" i="30"/>
  <c r="I827" i="30"/>
  <c r="J827" i="30"/>
  <c r="I828" i="30"/>
  <c r="J828" i="30"/>
  <c r="I829" i="30"/>
  <c r="J829" i="30"/>
  <c r="I830" i="30"/>
  <c r="J830" i="30"/>
  <c r="I831" i="30"/>
  <c r="J831" i="30"/>
  <c r="I832" i="30"/>
  <c r="J832" i="30"/>
  <c r="I833" i="30"/>
  <c r="J833" i="30"/>
  <c r="I834" i="30"/>
  <c r="J834" i="30"/>
  <c r="I835" i="30"/>
  <c r="J835" i="30"/>
  <c r="I836" i="30"/>
  <c r="J836" i="30"/>
  <c r="I837" i="30"/>
  <c r="J837" i="30"/>
  <c r="I838" i="30"/>
  <c r="J838" i="30"/>
  <c r="I839" i="30"/>
  <c r="J839" i="30"/>
  <c r="I840" i="30"/>
  <c r="J840" i="30"/>
  <c r="I841" i="30"/>
  <c r="J841" i="30"/>
  <c r="I842" i="30"/>
  <c r="J842" i="30"/>
  <c r="I843" i="30"/>
  <c r="J843" i="30"/>
  <c r="I844" i="30"/>
  <c r="J844" i="30"/>
  <c r="I845" i="30"/>
  <c r="J845" i="30"/>
  <c r="I846" i="30"/>
  <c r="J846" i="30"/>
  <c r="I847" i="30"/>
  <c r="J847" i="30"/>
  <c r="I848" i="30"/>
  <c r="J848" i="30"/>
  <c r="I849" i="30"/>
  <c r="J849" i="30"/>
  <c r="I850" i="30"/>
  <c r="J850" i="30"/>
  <c r="I851" i="30"/>
  <c r="J851" i="30"/>
  <c r="I852" i="30"/>
  <c r="J852" i="30"/>
  <c r="I853" i="30"/>
  <c r="J853" i="30"/>
  <c r="I854" i="30"/>
  <c r="J854" i="30"/>
  <c r="I855" i="30"/>
  <c r="J855" i="30"/>
  <c r="I856" i="30"/>
  <c r="J856" i="30"/>
  <c r="I857" i="30"/>
  <c r="J857" i="30"/>
  <c r="I858" i="30"/>
  <c r="J858" i="30"/>
  <c r="I859" i="30"/>
  <c r="J859" i="30"/>
  <c r="I860" i="30"/>
  <c r="J860" i="30"/>
  <c r="I861" i="30"/>
  <c r="J861" i="30"/>
  <c r="I862" i="30"/>
  <c r="J862" i="30"/>
  <c r="I863" i="30"/>
  <c r="J863" i="30"/>
  <c r="I864" i="30"/>
  <c r="J864" i="30"/>
  <c r="I865" i="30"/>
  <c r="J865" i="30"/>
  <c r="I866" i="30"/>
  <c r="J866" i="30"/>
  <c r="I867" i="30"/>
  <c r="J867" i="30"/>
  <c r="I868" i="30"/>
  <c r="J868" i="30"/>
  <c r="I869" i="30"/>
  <c r="J869" i="30"/>
  <c r="I870" i="30"/>
  <c r="J870" i="30"/>
  <c r="I871" i="30"/>
  <c r="J871" i="30"/>
  <c r="I872" i="30"/>
  <c r="J872" i="30"/>
  <c r="I873" i="30"/>
  <c r="J873" i="30"/>
  <c r="I874" i="30"/>
  <c r="J874" i="30"/>
  <c r="I875" i="30"/>
  <c r="J875" i="30"/>
  <c r="I876" i="30"/>
  <c r="J876" i="30"/>
  <c r="I877" i="30"/>
  <c r="J877" i="30"/>
  <c r="I878" i="30"/>
  <c r="J878" i="30"/>
  <c r="I879" i="30"/>
  <c r="J879" i="30"/>
  <c r="I880" i="30"/>
  <c r="J880" i="30"/>
  <c r="I881" i="30"/>
  <c r="J881" i="30"/>
  <c r="I882" i="30"/>
  <c r="J882" i="30"/>
  <c r="I883" i="30"/>
  <c r="J883" i="30"/>
  <c r="I884" i="30"/>
  <c r="J884" i="30"/>
  <c r="I885" i="30"/>
  <c r="J885" i="30"/>
  <c r="I886" i="30"/>
  <c r="J886" i="30"/>
  <c r="I887" i="30"/>
  <c r="J887" i="30"/>
  <c r="I888" i="30"/>
  <c r="J888" i="30"/>
  <c r="I889" i="30"/>
  <c r="J889" i="30"/>
  <c r="I890" i="30"/>
  <c r="J890" i="30"/>
  <c r="I891" i="30"/>
  <c r="J891" i="30"/>
  <c r="I892" i="30"/>
  <c r="J892" i="30"/>
  <c r="I893" i="30"/>
  <c r="J893" i="30"/>
  <c r="I894" i="30"/>
  <c r="J894" i="30"/>
  <c r="I895" i="30"/>
  <c r="J895" i="30"/>
  <c r="I896" i="30"/>
  <c r="J896" i="30"/>
  <c r="I897" i="30"/>
  <c r="J897" i="30"/>
  <c r="I898" i="30"/>
  <c r="J898" i="30"/>
  <c r="I899" i="30"/>
  <c r="J899" i="30"/>
  <c r="I900" i="30"/>
  <c r="J900" i="30"/>
  <c r="I901" i="30"/>
  <c r="J901" i="30"/>
  <c r="I902" i="30"/>
  <c r="J902" i="30"/>
  <c r="I903" i="30"/>
  <c r="J903" i="30"/>
  <c r="I904" i="30"/>
  <c r="J904" i="30"/>
  <c r="I905" i="30"/>
  <c r="J905" i="30"/>
  <c r="I906" i="30"/>
  <c r="J906" i="30"/>
  <c r="I907" i="30"/>
  <c r="J907" i="30"/>
  <c r="I908" i="30"/>
  <c r="J908" i="30"/>
  <c r="I909" i="30"/>
  <c r="J909" i="30"/>
  <c r="I910" i="30"/>
  <c r="J910" i="30"/>
  <c r="I911" i="30"/>
  <c r="J911" i="30"/>
  <c r="I912" i="30"/>
  <c r="J912" i="30"/>
  <c r="I913" i="30"/>
  <c r="J913" i="30"/>
  <c r="I914" i="30"/>
  <c r="J914" i="30"/>
  <c r="I915" i="30"/>
  <c r="J915" i="30"/>
  <c r="I916" i="30"/>
  <c r="J916" i="30"/>
  <c r="I917" i="30"/>
  <c r="J917" i="30"/>
  <c r="I918" i="30"/>
  <c r="J918" i="30"/>
  <c r="I919" i="30"/>
  <c r="J919" i="30"/>
  <c r="I920" i="30"/>
  <c r="J920" i="30"/>
  <c r="I921" i="30"/>
  <c r="J921" i="30"/>
  <c r="I922" i="30"/>
  <c r="J922" i="30"/>
  <c r="I923" i="30"/>
  <c r="J923" i="30"/>
  <c r="I924" i="30"/>
  <c r="J924" i="30"/>
  <c r="I925" i="30"/>
  <c r="J925" i="30"/>
  <c r="I926" i="30"/>
  <c r="J926" i="30"/>
  <c r="I927" i="30"/>
  <c r="J927" i="30"/>
  <c r="I928" i="30"/>
  <c r="J928" i="30"/>
  <c r="I929" i="30"/>
  <c r="J929" i="30"/>
  <c r="I930" i="30"/>
  <c r="J930" i="30"/>
  <c r="I931" i="30"/>
  <c r="J931" i="30"/>
  <c r="I932" i="30"/>
  <c r="J932" i="30"/>
  <c r="I933" i="30"/>
  <c r="J933" i="30"/>
  <c r="I934" i="30"/>
  <c r="J934" i="30"/>
  <c r="I935" i="30"/>
  <c r="J935" i="30"/>
  <c r="I936" i="30"/>
  <c r="J936" i="30"/>
  <c r="I937" i="30"/>
  <c r="J937" i="30"/>
  <c r="I938" i="30"/>
  <c r="J938" i="30"/>
  <c r="I939" i="30"/>
  <c r="J939" i="30"/>
  <c r="I940" i="30"/>
  <c r="J940" i="30"/>
  <c r="I941" i="30"/>
  <c r="J941" i="30"/>
  <c r="I942" i="30"/>
  <c r="J942" i="30"/>
  <c r="I943" i="30"/>
  <c r="J943" i="30"/>
  <c r="I944" i="30"/>
  <c r="J944" i="30"/>
  <c r="I945" i="30"/>
  <c r="J945" i="30"/>
  <c r="I946" i="30"/>
  <c r="J946" i="30"/>
  <c r="I947" i="30"/>
  <c r="J947" i="30"/>
  <c r="I948" i="30"/>
  <c r="J948" i="30"/>
  <c r="I949" i="30"/>
  <c r="J949" i="30"/>
  <c r="I950" i="30"/>
  <c r="J950" i="30"/>
  <c r="I951" i="30"/>
  <c r="J951" i="30"/>
  <c r="I952" i="30"/>
  <c r="J952" i="30"/>
  <c r="I953" i="30"/>
  <c r="J953" i="30"/>
  <c r="I954" i="30"/>
  <c r="J954" i="30"/>
  <c r="I955" i="30"/>
  <c r="J955" i="30"/>
  <c r="I956" i="30"/>
  <c r="J956" i="30"/>
  <c r="I957" i="30"/>
  <c r="J957" i="30"/>
  <c r="I958" i="30"/>
  <c r="J958" i="30"/>
  <c r="I959" i="30"/>
  <c r="J959" i="30"/>
  <c r="I960" i="30"/>
  <c r="J960" i="30"/>
  <c r="I961" i="30"/>
  <c r="J961" i="30"/>
  <c r="I962" i="30"/>
  <c r="J962" i="30"/>
  <c r="I963" i="30"/>
  <c r="J963" i="30"/>
  <c r="I964" i="30"/>
  <c r="J964" i="30"/>
  <c r="I965" i="30"/>
  <c r="J965" i="30"/>
  <c r="I966" i="30"/>
  <c r="J966" i="30"/>
  <c r="I967" i="30"/>
  <c r="J967" i="30"/>
  <c r="I968" i="30"/>
  <c r="J968" i="30"/>
  <c r="I969" i="30"/>
  <c r="J969" i="30"/>
  <c r="I970" i="30"/>
  <c r="J970" i="30"/>
  <c r="I971" i="30"/>
  <c r="J971" i="30"/>
  <c r="I972" i="30"/>
  <c r="J972" i="30"/>
  <c r="I973" i="30"/>
  <c r="J973" i="30"/>
  <c r="I974" i="30"/>
  <c r="J974" i="30"/>
  <c r="I975" i="30"/>
  <c r="J975" i="30"/>
  <c r="I976" i="30"/>
  <c r="J976" i="30"/>
  <c r="I977" i="30"/>
  <c r="J977" i="30"/>
  <c r="I978" i="30"/>
  <c r="J978" i="30"/>
  <c r="I979" i="30"/>
  <c r="J979" i="30"/>
  <c r="I980" i="30"/>
  <c r="J980" i="30"/>
  <c r="I981" i="30"/>
  <c r="J981" i="30"/>
  <c r="I982" i="30"/>
  <c r="J982" i="30"/>
  <c r="I983" i="30"/>
  <c r="J983" i="30"/>
  <c r="I984" i="30"/>
  <c r="J984" i="30"/>
  <c r="I985" i="30"/>
  <c r="J985" i="30"/>
  <c r="I986" i="30"/>
  <c r="J986" i="30"/>
  <c r="I987" i="30"/>
  <c r="J987" i="30"/>
  <c r="I988" i="30"/>
  <c r="J988" i="30"/>
  <c r="I989" i="30"/>
  <c r="J989" i="30"/>
  <c r="I990" i="30"/>
  <c r="J990" i="30"/>
  <c r="I991" i="30"/>
  <c r="J991" i="30"/>
  <c r="I992" i="30"/>
  <c r="J992" i="30"/>
  <c r="I993" i="30"/>
  <c r="J993" i="30"/>
  <c r="I994" i="30"/>
  <c r="J994" i="30"/>
  <c r="I995" i="30"/>
  <c r="J995" i="30"/>
  <c r="I996" i="30"/>
  <c r="J996" i="30"/>
  <c r="I997" i="30"/>
  <c r="J997" i="30"/>
  <c r="I998" i="30"/>
  <c r="J998" i="30"/>
  <c r="I999" i="30"/>
  <c r="J999" i="30"/>
  <c r="I1000" i="30"/>
  <c r="J1000" i="30"/>
  <c r="I1001" i="30"/>
  <c r="J1001" i="30"/>
  <c r="I1002" i="30"/>
  <c r="J1002" i="30"/>
  <c r="I1003" i="30"/>
  <c r="J1003" i="30"/>
  <c r="I1004" i="30"/>
  <c r="J1004" i="30"/>
  <c r="I1005" i="30"/>
  <c r="J1005" i="30"/>
  <c r="I1006" i="30"/>
  <c r="J1006" i="30"/>
  <c r="I1007" i="30"/>
  <c r="J1007" i="30"/>
  <c r="I1008" i="30"/>
  <c r="J1008" i="30"/>
  <c r="I1009" i="30"/>
  <c r="J1009" i="30"/>
  <c r="I1010" i="30"/>
  <c r="J1010" i="30"/>
  <c r="I1011" i="30"/>
  <c r="J1011" i="30"/>
  <c r="I1012" i="30"/>
  <c r="J1012" i="30"/>
  <c r="I1013" i="30"/>
  <c r="J1013" i="30"/>
  <c r="I1014" i="30"/>
  <c r="J1014" i="30"/>
  <c r="H11" i="31"/>
  <c r="I11" i="31"/>
  <c r="H12" i="31"/>
  <c r="H13" i="31"/>
  <c r="I13" i="31" s="1"/>
  <c r="H14" i="31"/>
  <c r="I14" i="31"/>
  <c r="H15" i="31"/>
  <c r="I15" i="31"/>
  <c r="H16" i="31"/>
  <c r="I16" i="31" s="1"/>
  <c r="H17" i="31"/>
  <c r="I17" i="31" s="1"/>
  <c r="H18" i="31"/>
  <c r="I18" i="31"/>
  <c r="H19" i="31"/>
  <c r="I19" i="31"/>
  <c r="H20" i="31"/>
  <c r="I20" i="31" s="1"/>
  <c r="H21" i="31"/>
  <c r="I21" i="31" s="1"/>
  <c r="H22" i="31"/>
  <c r="I22" i="31" s="1"/>
  <c r="H23" i="31"/>
  <c r="I23" i="31" s="1"/>
  <c r="H24" i="31"/>
  <c r="I24" i="31" s="1"/>
  <c r="H25" i="31"/>
  <c r="I25" i="31" s="1"/>
  <c r="H26" i="31"/>
  <c r="I26" i="31"/>
  <c r="H27" i="31"/>
  <c r="I27" i="31" s="1"/>
  <c r="H28" i="31"/>
  <c r="I28" i="31" s="1"/>
  <c r="H29" i="31"/>
  <c r="I29" i="31" s="1"/>
  <c r="H30" i="31"/>
  <c r="I30" i="31"/>
  <c r="H31" i="31"/>
  <c r="I31" i="31"/>
  <c r="H32" i="31"/>
  <c r="I32" i="31" s="1"/>
  <c r="H33" i="31"/>
  <c r="I33" i="31" s="1"/>
  <c r="H34" i="31"/>
  <c r="I34" i="31"/>
  <c r="H35" i="31"/>
  <c r="I35" i="31"/>
  <c r="H36" i="31"/>
  <c r="I36" i="31" s="1"/>
  <c r="H37" i="31"/>
  <c r="I37" i="31" s="1"/>
  <c r="H38" i="31"/>
  <c r="I38" i="31" s="1"/>
  <c r="H39" i="31"/>
  <c r="I39" i="31"/>
  <c r="H40" i="31"/>
  <c r="I40" i="31" s="1"/>
  <c r="H41" i="31"/>
  <c r="I41" i="31" s="1"/>
  <c r="H42" i="31"/>
  <c r="I42" i="31"/>
  <c r="H43" i="31"/>
  <c r="I43" i="31" s="1"/>
  <c r="H44" i="31"/>
  <c r="I44" i="31" s="1"/>
  <c r="H45" i="31"/>
  <c r="I45" i="31" s="1"/>
  <c r="H46" i="31"/>
  <c r="I46" i="31"/>
  <c r="H47" i="31"/>
  <c r="I47" i="31"/>
  <c r="H48" i="31"/>
  <c r="I48" i="31" s="1"/>
  <c r="H49" i="31"/>
  <c r="I49" i="31" s="1"/>
  <c r="H50" i="31"/>
  <c r="I50" i="31" s="1"/>
  <c r="H51" i="31"/>
  <c r="I51" i="31"/>
  <c r="H52" i="31"/>
  <c r="I52" i="31" s="1"/>
  <c r="H53" i="31"/>
  <c r="I53" i="31" s="1"/>
  <c r="H54" i="31"/>
  <c r="I54" i="31"/>
  <c r="H55" i="31"/>
  <c r="I55" i="31" s="1"/>
  <c r="H56" i="31"/>
  <c r="I56" i="31" s="1"/>
  <c r="H57" i="31"/>
  <c r="I57" i="31"/>
  <c r="H58" i="31"/>
  <c r="I58" i="31" s="1"/>
  <c r="H59" i="31"/>
  <c r="I59" i="31" s="1"/>
  <c r="H60" i="31"/>
  <c r="I60" i="31" s="1"/>
  <c r="H61" i="31"/>
  <c r="I61" i="31" s="1"/>
  <c r="H62" i="31"/>
  <c r="I62" i="31" s="1"/>
  <c r="H63" i="31"/>
  <c r="I63" i="31"/>
  <c r="H64" i="31"/>
  <c r="I64" i="31" s="1"/>
  <c r="H65" i="31"/>
  <c r="I65" i="31"/>
  <c r="H66" i="31"/>
  <c r="I66" i="31"/>
  <c r="H67" i="31"/>
  <c r="I67" i="31" s="1"/>
  <c r="H68" i="31"/>
  <c r="I68" i="31" s="1"/>
  <c r="H69" i="31"/>
  <c r="I69" i="31" s="1"/>
  <c r="H70" i="31"/>
  <c r="I70" i="31" s="1"/>
  <c r="H71" i="31"/>
  <c r="I71" i="31" s="1"/>
  <c r="H72" i="31"/>
  <c r="I72" i="31" s="1"/>
  <c r="H73" i="31"/>
  <c r="I73" i="31" s="1"/>
  <c r="H74" i="31"/>
  <c r="I74" i="31"/>
  <c r="H75" i="31"/>
  <c r="I75" i="31"/>
  <c r="H76" i="31"/>
  <c r="I76" i="31" s="1"/>
  <c r="H77" i="31"/>
  <c r="I77" i="31"/>
  <c r="H78" i="31"/>
  <c r="I78" i="31" s="1"/>
  <c r="H79" i="31"/>
  <c r="I79" i="31" s="1"/>
  <c r="H80" i="31"/>
  <c r="I80" i="31" s="1"/>
  <c r="H81" i="31"/>
  <c r="I81" i="31" s="1"/>
  <c r="H82" i="31"/>
  <c r="I82" i="31"/>
  <c r="H83" i="31"/>
  <c r="I83" i="31"/>
  <c r="H84" i="31"/>
  <c r="I84" i="31" s="1"/>
  <c r="H85" i="31"/>
  <c r="I85" i="31" s="1"/>
  <c r="H86" i="31"/>
  <c r="I86" i="31"/>
  <c r="H87" i="31"/>
  <c r="I87" i="31" s="1"/>
  <c r="H88" i="31"/>
  <c r="I88" i="31" s="1"/>
  <c r="H89" i="31"/>
  <c r="I89" i="31"/>
  <c r="H90" i="31"/>
  <c r="I90" i="31" s="1"/>
  <c r="H91" i="31"/>
  <c r="I91" i="31" s="1"/>
  <c r="H92" i="31"/>
  <c r="I92" i="31" s="1"/>
  <c r="H93" i="31"/>
  <c r="I93" i="31" s="1"/>
  <c r="H94" i="31"/>
  <c r="I94" i="31" s="1"/>
  <c r="H95" i="31"/>
  <c r="I95" i="31"/>
  <c r="H96" i="31"/>
  <c r="I96" i="31" s="1"/>
  <c r="H97" i="31"/>
  <c r="I97" i="31"/>
  <c r="H98" i="31"/>
  <c r="I98" i="31"/>
  <c r="H99" i="31"/>
  <c r="I99" i="31" s="1"/>
  <c r="H100" i="31"/>
  <c r="I100" i="31" s="1"/>
  <c r="H101" i="31"/>
  <c r="I101" i="31" s="1"/>
  <c r="H102" i="31"/>
  <c r="I102" i="31" s="1"/>
  <c r="H103" i="31"/>
  <c r="I103" i="31" s="1"/>
  <c r="H104" i="31"/>
  <c r="I104" i="31" s="1"/>
  <c r="H105" i="31"/>
  <c r="I105" i="31" s="1"/>
  <c r="H106" i="31"/>
  <c r="I106" i="31"/>
  <c r="H107" i="31"/>
  <c r="I107" i="31"/>
  <c r="H108" i="31"/>
  <c r="I108" i="31" s="1"/>
  <c r="H109" i="31"/>
  <c r="I109" i="31"/>
  <c r="H110" i="31"/>
  <c r="I110" i="31" s="1"/>
  <c r="H111" i="31"/>
  <c r="I111" i="31" s="1"/>
  <c r="H112" i="31"/>
  <c r="I112" i="31" s="1"/>
  <c r="H113" i="31"/>
  <c r="I113" i="31" s="1"/>
  <c r="H114" i="31"/>
  <c r="I114" i="31" s="1"/>
  <c r="H115" i="31"/>
  <c r="I115" i="31"/>
  <c r="H116" i="31"/>
  <c r="I116" i="31" s="1"/>
  <c r="H117" i="31"/>
  <c r="I117" i="31" s="1"/>
  <c r="H118" i="31"/>
  <c r="I118" i="31"/>
  <c r="H119" i="31"/>
  <c r="I119" i="31" s="1"/>
  <c r="H120" i="31"/>
  <c r="I120" i="31" s="1"/>
  <c r="H121" i="31"/>
  <c r="I121" i="31"/>
  <c r="H122" i="31"/>
  <c r="I122" i="31" s="1"/>
  <c r="H123" i="31"/>
  <c r="I123" i="31" s="1"/>
  <c r="H124" i="31"/>
  <c r="I124" i="31" s="1"/>
  <c r="H125" i="31"/>
  <c r="I125" i="31" s="1"/>
  <c r="H126" i="31"/>
  <c r="I126" i="31" s="1"/>
  <c r="H127" i="31"/>
  <c r="I127" i="31"/>
  <c r="H128" i="31"/>
  <c r="I128" i="31" s="1"/>
  <c r="H129" i="31"/>
  <c r="I129" i="31"/>
  <c r="H130" i="31"/>
  <c r="I130" i="31"/>
  <c r="H131" i="31"/>
  <c r="I131" i="31" s="1"/>
  <c r="H132" i="31"/>
  <c r="I132" i="31" s="1"/>
  <c r="H133" i="31"/>
  <c r="I133" i="31" s="1"/>
  <c r="H134" i="31"/>
  <c r="I134" i="31" s="1"/>
  <c r="H135" i="31"/>
  <c r="I135" i="31" s="1"/>
  <c r="H136" i="31"/>
  <c r="I136" i="31" s="1"/>
  <c r="H137" i="31"/>
  <c r="I137" i="31" s="1"/>
  <c r="H138" i="31"/>
  <c r="I138" i="31"/>
  <c r="H139" i="31"/>
  <c r="I139" i="31"/>
  <c r="H140" i="31"/>
  <c r="I140" i="31" s="1"/>
  <c r="H141" i="31"/>
  <c r="I141" i="31"/>
  <c r="H142" i="31"/>
  <c r="I142" i="31" s="1"/>
  <c r="H143" i="31"/>
  <c r="I143" i="31" s="1"/>
  <c r="H144" i="31"/>
  <c r="I144" i="31" s="1"/>
  <c r="H145" i="31"/>
  <c r="I145" i="31" s="1"/>
  <c r="H146" i="31"/>
  <c r="I146" i="31" s="1"/>
  <c r="H147" i="31"/>
  <c r="I147" i="31"/>
  <c r="H148" i="31"/>
  <c r="I148" i="31" s="1"/>
  <c r="H149" i="31"/>
  <c r="I149" i="31" s="1"/>
  <c r="H150" i="31"/>
  <c r="I150" i="31"/>
  <c r="H151" i="31"/>
  <c r="I151" i="31" s="1"/>
  <c r="H152" i="31"/>
  <c r="I152" i="31" s="1"/>
  <c r="H153" i="31"/>
  <c r="I153" i="31"/>
  <c r="H154" i="31"/>
  <c r="I154" i="31" s="1"/>
  <c r="H155" i="31"/>
  <c r="I155" i="31" s="1"/>
  <c r="H156" i="31"/>
  <c r="I156" i="31" s="1"/>
  <c r="H157" i="31"/>
  <c r="I157" i="31" s="1"/>
  <c r="H158" i="31"/>
  <c r="I158" i="31" s="1"/>
  <c r="H159" i="31"/>
  <c r="I159" i="31"/>
  <c r="H160" i="31"/>
  <c r="I160" i="31" s="1"/>
  <c r="H161" i="31"/>
  <c r="I161" i="31"/>
  <c r="H162" i="31"/>
  <c r="I162" i="31"/>
  <c r="H163" i="31"/>
  <c r="I163" i="31" s="1"/>
  <c r="H164" i="31"/>
  <c r="I164" i="31" s="1"/>
  <c r="H165" i="31"/>
  <c r="I165" i="31" s="1"/>
  <c r="H166" i="31"/>
  <c r="I166" i="31" s="1"/>
  <c r="H167" i="31"/>
  <c r="I167" i="31" s="1"/>
  <c r="H168" i="31"/>
  <c r="I168" i="31" s="1"/>
  <c r="H169" i="31"/>
  <c r="I169" i="31" s="1"/>
  <c r="H170" i="31"/>
  <c r="I170" i="31"/>
  <c r="H171" i="31"/>
  <c r="I171" i="31"/>
  <c r="H172" i="31"/>
  <c r="I172" i="31" s="1"/>
  <c r="H173" i="31"/>
  <c r="I173" i="31"/>
  <c r="H174" i="31"/>
  <c r="I174" i="31" s="1"/>
  <c r="H175" i="31"/>
  <c r="I175" i="31" s="1"/>
  <c r="H176" i="31"/>
  <c r="I176" i="31" s="1"/>
  <c r="H177" i="31"/>
  <c r="I177" i="31" s="1"/>
  <c r="H178" i="31"/>
  <c r="I178" i="31" s="1"/>
  <c r="H179" i="31"/>
  <c r="I179" i="31"/>
  <c r="H180" i="31"/>
  <c r="I180" i="31" s="1"/>
  <c r="H181" i="31"/>
  <c r="I181" i="31" s="1"/>
  <c r="H182" i="31"/>
  <c r="I182" i="31"/>
  <c r="H183" i="31"/>
  <c r="I183" i="31" s="1"/>
  <c r="H184" i="31"/>
  <c r="I184" i="31" s="1"/>
  <c r="H185" i="31"/>
  <c r="I185" i="31"/>
  <c r="H186" i="31"/>
  <c r="I186" i="31" s="1"/>
  <c r="H187" i="31"/>
  <c r="I187" i="31" s="1"/>
  <c r="H188" i="31"/>
  <c r="I188" i="31" s="1"/>
  <c r="H189" i="31"/>
  <c r="I189" i="31" s="1"/>
  <c r="H190" i="31"/>
  <c r="I190" i="31" s="1"/>
  <c r="H191" i="31"/>
  <c r="I191" i="31"/>
  <c r="H192" i="31"/>
  <c r="I192" i="31" s="1"/>
  <c r="H193" i="31"/>
  <c r="I193" i="31"/>
  <c r="H194" i="31"/>
  <c r="I194" i="31"/>
  <c r="H195" i="31"/>
  <c r="I195" i="31" s="1"/>
  <c r="H196" i="31"/>
  <c r="I196" i="31" s="1"/>
  <c r="H197" i="31"/>
  <c r="I197" i="31" s="1"/>
  <c r="H198" i="31"/>
  <c r="I198" i="31" s="1"/>
  <c r="H199" i="31"/>
  <c r="I199" i="31" s="1"/>
  <c r="H200" i="31"/>
  <c r="I200" i="31" s="1"/>
  <c r="H201" i="31"/>
  <c r="I201" i="31" s="1"/>
  <c r="H202" i="31"/>
  <c r="I202" i="31"/>
  <c r="H203" i="31"/>
  <c r="I203" i="31"/>
  <c r="H204" i="31"/>
  <c r="I204" i="31" s="1"/>
  <c r="H205" i="31"/>
  <c r="I205" i="31"/>
  <c r="H206" i="31"/>
  <c r="I206" i="31" s="1"/>
  <c r="H207" i="31"/>
  <c r="I207" i="31" s="1"/>
  <c r="H208" i="31"/>
  <c r="I208" i="31" s="1"/>
  <c r="H209" i="31"/>
  <c r="I209" i="31" s="1"/>
  <c r="H210" i="31"/>
  <c r="I210" i="31" s="1"/>
  <c r="H211" i="31"/>
  <c r="I211" i="31"/>
  <c r="H212" i="31"/>
  <c r="I212" i="31" s="1"/>
  <c r="H213" i="31"/>
  <c r="I213" i="31" s="1"/>
  <c r="H214" i="31"/>
  <c r="I214" i="31"/>
  <c r="H215" i="31"/>
  <c r="I215" i="31" s="1"/>
  <c r="H216" i="31"/>
  <c r="I216" i="31" s="1"/>
  <c r="H217" i="31"/>
  <c r="I217" i="31"/>
  <c r="H218" i="31"/>
  <c r="I218" i="31" s="1"/>
  <c r="H219" i="31"/>
  <c r="I219" i="31" s="1"/>
  <c r="H220" i="31"/>
  <c r="I220" i="31" s="1"/>
  <c r="H221" i="31"/>
  <c r="I221" i="31" s="1"/>
  <c r="H222" i="31"/>
  <c r="I222" i="31" s="1"/>
  <c r="H223" i="31"/>
  <c r="I223" i="31"/>
  <c r="H224" i="31"/>
  <c r="I224" i="31" s="1"/>
  <c r="H225" i="31"/>
  <c r="I225" i="31"/>
  <c r="H226" i="31"/>
  <c r="I226" i="31"/>
  <c r="H227" i="31"/>
  <c r="I227" i="31" s="1"/>
  <c r="H228" i="31"/>
  <c r="I228" i="31" s="1"/>
  <c r="H229" i="31"/>
  <c r="I229" i="31" s="1"/>
  <c r="H230" i="31"/>
  <c r="I230" i="31" s="1"/>
  <c r="H231" i="31"/>
  <c r="I231" i="31" s="1"/>
  <c r="H232" i="31"/>
  <c r="I232" i="31" s="1"/>
  <c r="H233" i="31"/>
  <c r="I233" i="31"/>
  <c r="H234" i="31"/>
  <c r="I234" i="31"/>
  <c r="H235" i="31"/>
  <c r="I235" i="31"/>
  <c r="H236" i="31"/>
  <c r="I236" i="31" s="1"/>
  <c r="H237" i="31"/>
  <c r="I237" i="31"/>
  <c r="H238" i="31"/>
  <c r="I238" i="31" s="1"/>
  <c r="H239" i="31"/>
  <c r="I239" i="31" s="1"/>
  <c r="H240" i="31"/>
  <c r="I240" i="31" s="1"/>
  <c r="H241" i="31"/>
  <c r="I241" i="31" s="1"/>
  <c r="H242" i="31"/>
  <c r="I242" i="31" s="1"/>
  <c r="H243" i="31"/>
  <c r="I243" i="31"/>
  <c r="H244" i="31"/>
  <c r="I244" i="31" s="1"/>
  <c r="H245" i="31"/>
  <c r="I245" i="31" s="1"/>
  <c r="H246" i="31"/>
  <c r="I246" i="31"/>
  <c r="H247" i="31"/>
  <c r="I247" i="31" s="1"/>
  <c r="H248" i="31"/>
  <c r="I248" i="31" s="1"/>
  <c r="H249" i="31"/>
  <c r="I249" i="31"/>
  <c r="H250" i="31"/>
  <c r="I250" i="31" s="1"/>
  <c r="H251" i="31"/>
  <c r="I251" i="31" s="1"/>
  <c r="H252" i="31"/>
  <c r="I252" i="31" s="1"/>
  <c r="H253" i="31"/>
  <c r="I253" i="31" s="1"/>
  <c r="H254" i="31"/>
  <c r="I254" i="31" s="1"/>
  <c r="H255" i="31"/>
  <c r="I255" i="31"/>
  <c r="H256" i="31"/>
  <c r="I256" i="31" s="1"/>
  <c r="H257" i="31"/>
  <c r="I257" i="31"/>
  <c r="H258" i="31"/>
  <c r="I258" i="31"/>
  <c r="H259" i="31"/>
  <c r="I259" i="31" s="1"/>
  <c r="H260" i="31"/>
  <c r="I260" i="31" s="1"/>
  <c r="H261" i="31"/>
  <c r="I261" i="31" s="1"/>
  <c r="H262" i="31"/>
  <c r="I262" i="31" s="1"/>
  <c r="H263" i="31"/>
  <c r="I263" i="31" s="1"/>
  <c r="H264" i="31"/>
  <c r="I264" i="31" s="1"/>
  <c r="H265" i="31"/>
  <c r="I265" i="31" s="1"/>
  <c r="H266" i="31"/>
  <c r="I266" i="31"/>
  <c r="H267" i="31"/>
  <c r="I267" i="31"/>
  <c r="H268" i="31"/>
  <c r="I268" i="31" s="1"/>
  <c r="H269" i="31"/>
  <c r="I269" i="31"/>
  <c r="H270" i="31"/>
  <c r="I270" i="31" s="1"/>
  <c r="H271" i="31"/>
  <c r="I271" i="31" s="1"/>
  <c r="H272" i="31"/>
  <c r="I272" i="31" s="1"/>
  <c r="H273" i="31"/>
  <c r="I273" i="31" s="1"/>
  <c r="H274" i="31"/>
  <c r="I274" i="31" s="1"/>
  <c r="H275" i="31"/>
  <c r="I275" i="31"/>
  <c r="H276" i="31"/>
  <c r="I276" i="31" s="1"/>
  <c r="H277" i="31"/>
  <c r="I277" i="31" s="1"/>
  <c r="H278" i="31"/>
  <c r="I278" i="31"/>
  <c r="H279" i="31"/>
  <c r="I279" i="31" s="1"/>
  <c r="H280" i="31"/>
  <c r="I280" i="31" s="1"/>
  <c r="H281" i="31"/>
  <c r="I281" i="31"/>
  <c r="H282" i="31"/>
  <c r="I282" i="31" s="1"/>
  <c r="H283" i="31"/>
  <c r="I283" i="31" s="1"/>
  <c r="H284" i="31"/>
  <c r="I284" i="31" s="1"/>
  <c r="H285" i="31"/>
  <c r="I285" i="31" s="1"/>
  <c r="H286" i="31"/>
  <c r="I286" i="31" s="1"/>
  <c r="H287" i="31"/>
  <c r="I287" i="31"/>
  <c r="H288" i="31"/>
  <c r="I288" i="31" s="1"/>
  <c r="H289" i="31"/>
  <c r="I289" i="31"/>
  <c r="H290" i="31"/>
  <c r="I290" i="31"/>
  <c r="H291" i="31"/>
  <c r="I291" i="31" s="1"/>
  <c r="H292" i="31"/>
  <c r="I292" i="31" s="1"/>
  <c r="H293" i="31"/>
  <c r="I293" i="31" s="1"/>
  <c r="H294" i="31"/>
  <c r="I294" i="31" s="1"/>
  <c r="H295" i="31"/>
  <c r="I295" i="31" s="1"/>
  <c r="H296" i="31"/>
  <c r="I296" i="31" s="1"/>
  <c r="H297" i="31"/>
  <c r="I297" i="31"/>
  <c r="H298" i="31"/>
  <c r="I298" i="31"/>
  <c r="H299" i="31"/>
  <c r="I299" i="31"/>
  <c r="H300" i="31"/>
  <c r="I300" i="31" s="1"/>
  <c r="H301" i="31"/>
  <c r="I301" i="31"/>
  <c r="H302" i="31"/>
  <c r="I302" i="31" s="1"/>
  <c r="H303" i="31"/>
  <c r="I303" i="31" s="1"/>
  <c r="H304" i="31"/>
  <c r="I304" i="31" s="1"/>
  <c r="H305" i="31"/>
  <c r="I305" i="31" s="1"/>
  <c r="H306" i="31"/>
  <c r="I306" i="31" s="1"/>
  <c r="H307" i="31"/>
  <c r="I307" i="31"/>
  <c r="H308" i="31"/>
  <c r="I308" i="31" s="1"/>
  <c r="H309" i="31"/>
  <c r="I309" i="31" s="1"/>
  <c r="H310" i="31"/>
  <c r="I310" i="31"/>
  <c r="H311" i="31"/>
  <c r="I311" i="31" s="1"/>
  <c r="H312" i="31"/>
  <c r="I312" i="31" s="1"/>
  <c r="H313" i="31"/>
  <c r="I313" i="31"/>
  <c r="H314" i="31"/>
  <c r="I314" i="31" s="1"/>
  <c r="H315" i="31"/>
  <c r="I315" i="31" s="1"/>
  <c r="H316" i="31"/>
  <c r="I316" i="31"/>
  <c r="H317" i="31"/>
  <c r="I317" i="31"/>
  <c r="H318" i="31"/>
  <c r="I318" i="31" s="1"/>
  <c r="H319" i="31"/>
  <c r="I319" i="31" s="1"/>
  <c r="H320" i="31"/>
  <c r="I320" i="31"/>
  <c r="H321" i="31"/>
  <c r="I321" i="31"/>
  <c r="H322" i="31"/>
  <c r="I322" i="31" s="1"/>
  <c r="H323" i="31"/>
  <c r="I323" i="31"/>
  <c r="H324" i="31"/>
  <c r="I324" i="31"/>
  <c r="H325" i="31"/>
  <c r="I325" i="31"/>
  <c r="H326" i="31"/>
  <c r="I326" i="31" s="1"/>
  <c r="H327" i="31"/>
  <c r="I327" i="31"/>
  <c r="H328" i="31"/>
  <c r="I328" i="31"/>
  <c r="H329" i="31"/>
  <c r="I329" i="31"/>
  <c r="H330" i="31"/>
  <c r="I330" i="31" s="1"/>
  <c r="H331" i="31"/>
  <c r="I331" i="31" s="1"/>
  <c r="H332" i="31"/>
  <c r="I332" i="31"/>
  <c r="H333" i="31"/>
  <c r="I333" i="31"/>
  <c r="H334" i="31"/>
  <c r="I334" i="31" s="1"/>
  <c r="H335" i="31"/>
  <c r="I335" i="31" s="1"/>
  <c r="H336" i="31"/>
  <c r="I336" i="31"/>
  <c r="H337" i="31"/>
  <c r="I337" i="31"/>
  <c r="H338" i="31"/>
  <c r="I338" i="31" s="1"/>
  <c r="H339" i="31"/>
  <c r="I339" i="31" s="1"/>
  <c r="H340" i="31"/>
  <c r="I340" i="31"/>
  <c r="H341" i="31"/>
  <c r="I341" i="31"/>
  <c r="H342" i="31"/>
  <c r="I342" i="31" s="1"/>
  <c r="H343" i="31"/>
  <c r="I343" i="31"/>
  <c r="H344" i="31"/>
  <c r="I344" i="31"/>
  <c r="H345" i="31"/>
  <c r="I345" i="31"/>
  <c r="H346" i="31"/>
  <c r="I346" i="31" s="1"/>
  <c r="H347" i="31"/>
  <c r="I347" i="31" s="1"/>
  <c r="H348" i="31"/>
  <c r="I348" i="31"/>
  <c r="H349" i="31"/>
  <c r="I349" i="31"/>
  <c r="H350" i="31"/>
  <c r="I350" i="31" s="1"/>
  <c r="H351" i="31"/>
  <c r="I351" i="31" s="1"/>
  <c r="H352" i="31"/>
  <c r="I352" i="31"/>
  <c r="H353" i="31"/>
  <c r="I353" i="31"/>
  <c r="H354" i="31"/>
  <c r="I354" i="31" s="1"/>
  <c r="H355" i="31"/>
  <c r="I355" i="31"/>
  <c r="H356" i="31"/>
  <c r="I356" i="31"/>
  <c r="H357" i="31"/>
  <c r="I357" i="31"/>
  <c r="H358" i="31"/>
  <c r="I358" i="31" s="1"/>
  <c r="H359" i="31"/>
  <c r="I359" i="31"/>
  <c r="H360" i="31"/>
  <c r="I360" i="31"/>
  <c r="H361" i="31"/>
  <c r="I361" i="31"/>
  <c r="H362" i="31"/>
  <c r="I362" i="31" s="1"/>
  <c r="H363" i="31"/>
  <c r="I363" i="31" s="1"/>
  <c r="H364" i="31"/>
  <c r="I364" i="31"/>
  <c r="H365" i="31"/>
  <c r="I365" i="31"/>
  <c r="H366" i="31"/>
  <c r="I366" i="31" s="1"/>
  <c r="H367" i="31"/>
  <c r="I367" i="31"/>
  <c r="H368" i="31"/>
  <c r="I368" i="31"/>
  <c r="H369" i="31"/>
  <c r="I369" i="31"/>
  <c r="H370" i="31"/>
  <c r="I370" i="31" s="1"/>
  <c r="H371" i="31"/>
  <c r="I371" i="31" s="1"/>
  <c r="H372" i="31"/>
  <c r="I372" i="31"/>
  <c r="H373" i="31"/>
  <c r="I373" i="31"/>
  <c r="H374" i="31"/>
  <c r="I374" i="31" s="1"/>
  <c r="H375" i="31"/>
  <c r="I375" i="31"/>
  <c r="H376" i="31"/>
  <c r="I376" i="31"/>
  <c r="H377" i="31"/>
  <c r="I377" i="31"/>
  <c r="H378" i="31"/>
  <c r="I378" i="31" s="1"/>
  <c r="H379" i="31"/>
  <c r="I379" i="31" s="1"/>
  <c r="H380" i="31"/>
  <c r="I380" i="31"/>
  <c r="H381" i="31"/>
  <c r="I381" i="31"/>
  <c r="H382" i="31"/>
  <c r="I382" i="31" s="1"/>
  <c r="H383" i="31"/>
  <c r="I383" i="31" s="1"/>
  <c r="H384" i="31"/>
  <c r="I384" i="31"/>
  <c r="H385" i="31"/>
  <c r="I385" i="31"/>
  <c r="H386" i="31"/>
  <c r="I386" i="31" s="1"/>
  <c r="H387" i="31"/>
  <c r="I387" i="31"/>
  <c r="H388" i="31"/>
  <c r="I388" i="31"/>
  <c r="H389" i="31"/>
  <c r="I389" i="31"/>
  <c r="H390" i="31"/>
  <c r="I390" i="31" s="1"/>
  <c r="H391" i="31"/>
  <c r="I391" i="31"/>
  <c r="H392" i="31"/>
  <c r="I392" i="31"/>
  <c r="H393" i="31"/>
  <c r="I393" i="31"/>
  <c r="H394" i="31"/>
  <c r="I394" i="31" s="1"/>
  <c r="H395" i="31"/>
  <c r="I395" i="31" s="1"/>
  <c r="H396" i="31"/>
  <c r="I396" i="31"/>
  <c r="H397" i="31"/>
  <c r="I397" i="31"/>
  <c r="H398" i="31"/>
  <c r="I398" i="31" s="1"/>
  <c r="H399" i="31"/>
  <c r="I399" i="31"/>
  <c r="H400" i="31"/>
  <c r="I400" i="31"/>
  <c r="H401" i="31"/>
  <c r="I401" i="31"/>
  <c r="H402" i="31"/>
  <c r="I402" i="31" s="1"/>
  <c r="H403" i="31"/>
  <c r="I403" i="31" s="1"/>
  <c r="H404" i="31"/>
  <c r="I404" i="31"/>
  <c r="H405" i="31"/>
  <c r="I405" i="31"/>
  <c r="H406" i="31"/>
  <c r="I406" i="31" s="1"/>
  <c r="H407" i="31"/>
  <c r="I407" i="31"/>
  <c r="H408" i="31"/>
  <c r="I408" i="31"/>
  <c r="H409" i="31"/>
  <c r="I409" i="31"/>
  <c r="H410" i="31"/>
  <c r="I410" i="31" s="1"/>
  <c r="H411" i="31"/>
  <c r="I411" i="31" s="1"/>
  <c r="H412" i="31"/>
  <c r="I412" i="31"/>
  <c r="H413" i="31"/>
  <c r="I413" i="31"/>
  <c r="H414" i="31"/>
  <c r="I414" i="31" s="1"/>
  <c r="H415" i="31"/>
  <c r="I415" i="31" s="1"/>
  <c r="H416" i="31"/>
  <c r="I416" i="31"/>
  <c r="H417" i="31"/>
  <c r="I417" i="31"/>
  <c r="H418" i="31"/>
  <c r="I418" i="31" s="1"/>
  <c r="H419" i="31"/>
  <c r="I419" i="31"/>
  <c r="H420" i="31"/>
  <c r="I420" i="31"/>
  <c r="H421" i="31"/>
  <c r="I421" i="31"/>
  <c r="H422" i="31"/>
  <c r="I422" i="31" s="1"/>
  <c r="H423" i="31"/>
  <c r="I423" i="31"/>
  <c r="H424" i="31"/>
  <c r="I424" i="31"/>
  <c r="H425" i="31"/>
  <c r="I425" i="31"/>
  <c r="H426" i="31"/>
  <c r="I426" i="31" s="1"/>
  <c r="H427" i="31"/>
  <c r="I427" i="31" s="1"/>
  <c r="H428" i="31"/>
  <c r="I428" i="31"/>
  <c r="H429" i="31"/>
  <c r="I429" i="31"/>
  <c r="H430" i="31"/>
  <c r="I430" i="31" s="1"/>
  <c r="H431" i="31"/>
  <c r="I431" i="31"/>
  <c r="H432" i="31"/>
  <c r="I432" i="31"/>
  <c r="H433" i="31"/>
  <c r="I433" i="31"/>
  <c r="H434" i="31"/>
  <c r="I434" i="31" s="1"/>
  <c r="H435" i="31"/>
  <c r="I435" i="31" s="1"/>
  <c r="H436" i="31"/>
  <c r="I436" i="31"/>
  <c r="H437" i="31"/>
  <c r="I437" i="31"/>
  <c r="H438" i="31"/>
  <c r="I438" i="31" s="1"/>
  <c r="H439" i="31"/>
  <c r="I439" i="31"/>
  <c r="H440" i="31"/>
  <c r="I440" i="31"/>
  <c r="H441" i="31"/>
  <c r="I441" i="31"/>
  <c r="H442" i="31"/>
  <c r="I442" i="31" s="1"/>
  <c r="H443" i="31"/>
  <c r="I443" i="31" s="1"/>
  <c r="H444" i="31"/>
  <c r="I444" i="31"/>
  <c r="H445" i="31"/>
  <c r="I445" i="31"/>
  <c r="H446" i="31"/>
  <c r="I446" i="31" s="1"/>
  <c r="H447" i="31"/>
  <c r="I447" i="31" s="1"/>
  <c r="H448" i="31"/>
  <c r="I448" i="31"/>
  <c r="H449" i="31"/>
  <c r="I449" i="31"/>
  <c r="H450" i="31"/>
  <c r="I450" i="31" s="1"/>
  <c r="H451" i="31"/>
  <c r="I451" i="31"/>
  <c r="H452" i="31"/>
  <c r="I452" i="31"/>
  <c r="H453" i="31"/>
  <c r="I453" i="31"/>
  <c r="H454" i="31"/>
  <c r="I454" i="31" s="1"/>
  <c r="H455" i="31"/>
  <c r="I455" i="31"/>
  <c r="H456" i="31"/>
  <c r="I456" i="31"/>
  <c r="H457" i="31"/>
  <c r="I457" i="31"/>
  <c r="H458" i="31"/>
  <c r="I458" i="31" s="1"/>
  <c r="H459" i="31"/>
  <c r="I459" i="31" s="1"/>
  <c r="H460" i="31"/>
  <c r="I460" i="31"/>
  <c r="H461" i="31"/>
  <c r="I461" i="31"/>
  <c r="H462" i="31"/>
  <c r="I462" i="31" s="1"/>
  <c r="H463" i="31"/>
  <c r="I463" i="31"/>
  <c r="H464" i="31"/>
  <c r="I464" i="31"/>
  <c r="H465" i="31"/>
  <c r="I465" i="31"/>
  <c r="H466" i="31"/>
  <c r="I466" i="31" s="1"/>
  <c r="H467" i="31"/>
  <c r="I467" i="31" s="1"/>
  <c r="H468" i="31"/>
  <c r="I468" i="31"/>
  <c r="H469" i="31"/>
  <c r="I469" i="31"/>
  <c r="H470" i="31"/>
  <c r="I470" i="31" s="1"/>
  <c r="H471" i="31"/>
  <c r="I471" i="31"/>
  <c r="H472" i="31"/>
  <c r="I472" i="31"/>
  <c r="H473" i="31"/>
  <c r="I473" i="31"/>
  <c r="H474" i="31"/>
  <c r="I474" i="31" s="1"/>
  <c r="H475" i="31"/>
  <c r="I475" i="31" s="1"/>
  <c r="H476" i="31"/>
  <c r="I476" i="31"/>
  <c r="H477" i="31"/>
  <c r="I477" i="31" s="1"/>
  <c r="H478" i="31"/>
  <c r="I478" i="31" s="1"/>
  <c r="H479" i="31"/>
  <c r="I479" i="31" s="1"/>
  <c r="H480" i="31"/>
  <c r="I480" i="31"/>
  <c r="H481" i="31"/>
  <c r="I481" i="31"/>
  <c r="H482" i="31"/>
  <c r="I482" i="31" s="1"/>
  <c r="H483" i="31"/>
  <c r="I483" i="31"/>
  <c r="H484" i="31"/>
  <c r="I484" i="31"/>
  <c r="H485" i="31"/>
  <c r="I485" i="31" s="1"/>
  <c r="H486" i="31"/>
  <c r="I486" i="31" s="1"/>
  <c r="H487" i="31"/>
  <c r="I487" i="31"/>
  <c r="H488" i="31"/>
  <c r="I488" i="31"/>
  <c r="H489" i="31"/>
  <c r="I489" i="31"/>
  <c r="H490" i="31"/>
  <c r="I490" i="31" s="1"/>
  <c r="H491" i="31"/>
  <c r="I491" i="31" s="1"/>
  <c r="H492" i="31"/>
  <c r="I492" i="31"/>
  <c r="H493" i="31"/>
  <c r="I493" i="31" s="1"/>
  <c r="H494" i="31"/>
  <c r="I494" i="31" s="1"/>
  <c r="H495" i="31"/>
  <c r="I495" i="31" s="1"/>
  <c r="H496" i="31"/>
  <c r="I496" i="31"/>
  <c r="H497" i="31"/>
  <c r="I497" i="31" s="1"/>
  <c r="H498" i="31"/>
  <c r="I498" i="31" s="1"/>
  <c r="H499" i="31"/>
  <c r="I499" i="31"/>
  <c r="H500" i="31"/>
  <c r="I500" i="31"/>
  <c r="H501" i="31"/>
  <c r="I501" i="31"/>
  <c r="H502" i="31"/>
  <c r="I502" i="31" s="1"/>
  <c r="H503" i="31"/>
  <c r="I503" i="31"/>
  <c r="H504" i="31"/>
  <c r="I504" i="31"/>
  <c r="H505" i="31"/>
  <c r="I505" i="31"/>
  <c r="H506" i="31"/>
  <c r="I506" i="31" s="1"/>
  <c r="H507" i="31"/>
  <c r="I507" i="31" s="1"/>
  <c r="H508" i="31"/>
  <c r="I508" i="31"/>
  <c r="H509" i="31"/>
  <c r="I509" i="31" s="1"/>
  <c r="H510" i="31"/>
  <c r="I510" i="31" s="1"/>
  <c r="H511" i="31"/>
  <c r="I511" i="31" s="1"/>
  <c r="H512" i="31"/>
  <c r="I512" i="31"/>
  <c r="H513" i="31"/>
  <c r="I513" i="31"/>
  <c r="H514" i="31"/>
  <c r="I514" i="31" s="1"/>
  <c r="H515" i="31"/>
  <c r="I515" i="31"/>
  <c r="H516" i="31"/>
  <c r="I516" i="31"/>
  <c r="H517" i="31"/>
  <c r="I517" i="31"/>
  <c r="H518" i="31"/>
  <c r="I518" i="31" s="1"/>
  <c r="H519" i="31"/>
  <c r="I519" i="31"/>
  <c r="H520" i="31"/>
  <c r="I520" i="31"/>
  <c r="H521" i="31"/>
  <c r="I521" i="31"/>
  <c r="H522" i="31"/>
  <c r="I522" i="31" s="1"/>
  <c r="H523" i="31"/>
  <c r="I523" i="31" s="1"/>
  <c r="H524" i="31"/>
  <c r="I524" i="31"/>
  <c r="H525" i="31"/>
  <c r="I525" i="31" s="1"/>
  <c r="H526" i="31"/>
  <c r="I526" i="31" s="1"/>
  <c r="H527" i="31"/>
  <c r="I527" i="31"/>
  <c r="H528" i="31"/>
  <c r="I528" i="31"/>
  <c r="H529" i="31"/>
  <c r="I529" i="31" s="1"/>
  <c r="H530" i="31"/>
  <c r="I530" i="31" s="1"/>
  <c r="H531" i="31"/>
  <c r="I531" i="31" s="1"/>
  <c r="H532" i="31"/>
  <c r="I532" i="31"/>
  <c r="H533" i="31"/>
  <c r="I533" i="31"/>
  <c r="H534" i="31"/>
  <c r="I534" i="31" s="1"/>
  <c r="H535" i="31"/>
  <c r="I535" i="31"/>
  <c r="H536" i="31"/>
  <c r="I536" i="31"/>
  <c r="H537" i="31"/>
  <c r="I537" i="31"/>
  <c r="H538" i="31"/>
  <c r="I538" i="31" s="1"/>
  <c r="H539" i="31"/>
  <c r="I539" i="31" s="1"/>
  <c r="H540" i="31"/>
  <c r="I540" i="31"/>
  <c r="H541" i="31"/>
  <c r="I541" i="31" s="1"/>
  <c r="H542" i="31"/>
  <c r="I542" i="31"/>
  <c r="H543" i="31"/>
  <c r="I543" i="31" s="1"/>
  <c r="H544" i="31"/>
  <c r="I544" i="31"/>
  <c r="H545" i="31"/>
  <c r="I545" i="31" s="1"/>
  <c r="H546" i="31"/>
  <c r="I546" i="31" s="1"/>
  <c r="H547" i="31"/>
  <c r="I547" i="31" s="1"/>
  <c r="H548" i="31"/>
  <c r="I548" i="31"/>
  <c r="H549" i="31"/>
  <c r="I549" i="31" s="1"/>
  <c r="H550" i="31"/>
  <c r="I550" i="31"/>
  <c r="H551" i="31"/>
  <c r="I551" i="31" s="1"/>
  <c r="H552" i="31"/>
  <c r="I552" i="31" s="1"/>
  <c r="H553" i="31"/>
  <c r="I553" i="31" s="1"/>
  <c r="H554" i="31"/>
  <c r="I554" i="31"/>
  <c r="H555" i="31"/>
  <c r="I555" i="31" s="1"/>
  <c r="H556" i="31"/>
  <c r="I556" i="31"/>
  <c r="H557" i="31"/>
  <c r="I557" i="31" s="1"/>
  <c r="H558" i="31"/>
  <c r="I558" i="31"/>
  <c r="H559" i="31"/>
  <c r="I559" i="31" s="1"/>
  <c r="H560" i="31"/>
  <c r="I560" i="31" s="1"/>
  <c r="H561" i="31"/>
  <c r="I561" i="31" s="1"/>
  <c r="H562" i="31"/>
  <c r="I562" i="31" s="1"/>
  <c r="H563" i="31"/>
  <c r="I563" i="31" s="1"/>
  <c r="H564" i="31"/>
  <c r="I564" i="31"/>
  <c r="H565" i="31"/>
  <c r="I565" i="31" s="1"/>
  <c r="H566" i="31"/>
  <c r="I566" i="31"/>
  <c r="H567" i="31"/>
  <c r="I567" i="31" s="1"/>
  <c r="H568" i="31"/>
  <c r="I568" i="31" s="1"/>
  <c r="H569" i="31"/>
  <c r="I569" i="31" s="1"/>
  <c r="H570" i="31"/>
  <c r="I570" i="31"/>
  <c r="H571" i="31"/>
  <c r="I571" i="31" s="1"/>
  <c r="H572" i="31"/>
  <c r="I572" i="31"/>
  <c r="H573" i="31"/>
  <c r="I573" i="31" s="1"/>
  <c r="H574" i="31"/>
  <c r="I574" i="31"/>
  <c r="H575" i="31"/>
  <c r="I575" i="31" s="1"/>
  <c r="H576" i="31"/>
  <c r="I576" i="31" s="1"/>
  <c r="H577" i="31"/>
  <c r="I577" i="31" s="1"/>
  <c r="H578" i="31"/>
  <c r="I578" i="31" s="1"/>
  <c r="H579" i="31"/>
  <c r="I579" i="31" s="1"/>
  <c r="H580" i="31"/>
  <c r="I580" i="31"/>
  <c r="H581" i="31"/>
  <c r="I581" i="31" s="1"/>
  <c r="H582" i="31"/>
  <c r="I582" i="31"/>
  <c r="H583" i="31"/>
  <c r="I583" i="31" s="1"/>
  <c r="H584" i="31"/>
  <c r="I584" i="31" s="1"/>
  <c r="H585" i="31"/>
  <c r="I585" i="31" s="1"/>
  <c r="H586" i="31"/>
  <c r="I586" i="31"/>
  <c r="H587" i="31"/>
  <c r="I587" i="31" s="1"/>
  <c r="H588" i="31"/>
  <c r="I588" i="31"/>
  <c r="H589" i="31"/>
  <c r="I589" i="31" s="1"/>
  <c r="H590" i="31"/>
  <c r="I590" i="31"/>
  <c r="H591" i="31"/>
  <c r="I591" i="31" s="1"/>
  <c r="H592" i="31"/>
  <c r="I592" i="31" s="1"/>
  <c r="H593" i="31"/>
  <c r="I593" i="31" s="1"/>
  <c r="H594" i="31"/>
  <c r="I594" i="31" s="1"/>
  <c r="H595" i="31"/>
  <c r="I595" i="31" s="1"/>
  <c r="H596" i="31"/>
  <c r="I596" i="31"/>
  <c r="H597" i="31"/>
  <c r="I597" i="31" s="1"/>
  <c r="H598" i="31"/>
  <c r="I598" i="31"/>
  <c r="H599" i="31"/>
  <c r="I599" i="31" s="1"/>
  <c r="H600" i="31"/>
  <c r="I600" i="31" s="1"/>
  <c r="H601" i="31"/>
  <c r="I601" i="31" s="1"/>
  <c r="H602" i="31"/>
  <c r="I602" i="31"/>
  <c r="H603" i="31"/>
  <c r="I603" i="31" s="1"/>
  <c r="H604" i="31"/>
  <c r="I604" i="31"/>
  <c r="H605" i="31"/>
  <c r="I605" i="31" s="1"/>
  <c r="H606" i="31"/>
  <c r="I606" i="31"/>
  <c r="H607" i="31"/>
  <c r="I607" i="31" s="1"/>
  <c r="H608" i="31"/>
  <c r="I608" i="31" s="1"/>
  <c r="H609" i="31"/>
  <c r="I609" i="31" s="1"/>
  <c r="H610" i="31"/>
  <c r="I610" i="31" s="1"/>
  <c r="H611" i="31"/>
  <c r="I611" i="31" s="1"/>
  <c r="H612" i="31"/>
  <c r="I612" i="31"/>
  <c r="H613" i="31"/>
  <c r="I613" i="31" s="1"/>
  <c r="H614" i="31"/>
  <c r="I614" i="31"/>
  <c r="H615" i="31"/>
  <c r="I615" i="31" s="1"/>
  <c r="H616" i="31"/>
  <c r="I616" i="31" s="1"/>
  <c r="H617" i="31"/>
  <c r="I617" i="31" s="1"/>
  <c r="H618" i="31"/>
  <c r="I618" i="31"/>
  <c r="H619" i="31"/>
  <c r="I619" i="31" s="1"/>
  <c r="H620" i="31"/>
  <c r="I620" i="31"/>
  <c r="H621" i="31"/>
  <c r="I621" i="31" s="1"/>
  <c r="H622" i="31"/>
  <c r="I622" i="31"/>
  <c r="H623" i="31"/>
  <c r="I623" i="31" s="1"/>
  <c r="H624" i="31"/>
  <c r="I624" i="31" s="1"/>
  <c r="H625" i="31"/>
  <c r="I625" i="31" s="1"/>
  <c r="H626" i="31"/>
  <c r="I626" i="31" s="1"/>
  <c r="H627" i="31"/>
  <c r="I627" i="31" s="1"/>
  <c r="H628" i="31"/>
  <c r="I628" i="31"/>
  <c r="H629" i="31"/>
  <c r="I629" i="31" s="1"/>
  <c r="H630" i="31"/>
  <c r="I630" i="31"/>
  <c r="H631" i="31"/>
  <c r="I631" i="31" s="1"/>
  <c r="H632" i="31"/>
  <c r="I632" i="31" s="1"/>
  <c r="H633" i="31"/>
  <c r="I633" i="31" s="1"/>
  <c r="H634" i="31"/>
  <c r="I634" i="31"/>
  <c r="H635" i="31"/>
  <c r="I635" i="31" s="1"/>
  <c r="H636" i="31"/>
  <c r="I636" i="31"/>
  <c r="H637" i="31"/>
  <c r="I637" i="31" s="1"/>
  <c r="H638" i="31"/>
  <c r="I638" i="31"/>
  <c r="H639" i="31"/>
  <c r="I639" i="31" s="1"/>
  <c r="H640" i="31"/>
  <c r="I640" i="31" s="1"/>
  <c r="H641" i="31"/>
  <c r="I641" i="31" s="1"/>
  <c r="H642" i="31"/>
  <c r="I642" i="31" s="1"/>
  <c r="H643" i="31"/>
  <c r="I643" i="31" s="1"/>
  <c r="H644" i="31"/>
  <c r="I644" i="31"/>
  <c r="H645" i="31"/>
  <c r="I645" i="31" s="1"/>
  <c r="H646" i="31"/>
  <c r="I646" i="31"/>
  <c r="H647" i="31"/>
  <c r="I647" i="31" s="1"/>
  <c r="H648" i="31"/>
  <c r="I648" i="31" s="1"/>
  <c r="H649" i="31"/>
  <c r="I649" i="31" s="1"/>
  <c r="H650" i="31"/>
  <c r="I650" i="31"/>
  <c r="H651" i="31"/>
  <c r="I651" i="31" s="1"/>
  <c r="H652" i="31"/>
  <c r="I652" i="31"/>
  <c r="H653" i="31"/>
  <c r="I653" i="31" s="1"/>
  <c r="H654" i="31"/>
  <c r="I654" i="31"/>
  <c r="H655" i="31"/>
  <c r="I655" i="31" s="1"/>
  <c r="H656" i="31"/>
  <c r="I656" i="31" s="1"/>
  <c r="H657" i="31"/>
  <c r="I657" i="31" s="1"/>
  <c r="H658" i="31"/>
  <c r="I658" i="31" s="1"/>
  <c r="H659" i="31"/>
  <c r="I659" i="31" s="1"/>
  <c r="H660" i="31"/>
  <c r="I660" i="31"/>
  <c r="H661" i="31"/>
  <c r="I661" i="31" s="1"/>
  <c r="H662" i="31"/>
  <c r="I662" i="31"/>
  <c r="H663" i="31"/>
  <c r="I663" i="31" s="1"/>
  <c r="H664" i="31"/>
  <c r="I664" i="31" s="1"/>
  <c r="H665" i="31"/>
  <c r="I665" i="31" s="1"/>
  <c r="H666" i="31"/>
  <c r="I666" i="31"/>
  <c r="H667" i="31"/>
  <c r="I667" i="31" s="1"/>
  <c r="H668" i="31"/>
  <c r="I668" i="31"/>
  <c r="H669" i="31"/>
  <c r="I669" i="31" s="1"/>
  <c r="H670" i="31"/>
  <c r="I670" i="31"/>
  <c r="H671" i="31"/>
  <c r="I671" i="31" s="1"/>
  <c r="H672" i="31"/>
  <c r="I672" i="31" s="1"/>
  <c r="H673" i="31"/>
  <c r="I673" i="31" s="1"/>
  <c r="H674" i="31"/>
  <c r="I674" i="31" s="1"/>
  <c r="H675" i="31"/>
  <c r="I675" i="31" s="1"/>
  <c r="H676" i="31"/>
  <c r="I676" i="31"/>
  <c r="H677" i="31"/>
  <c r="I677" i="31" s="1"/>
  <c r="H678" i="31"/>
  <c r="I678" i="31"/>
  <c r="H679" i="31"/>
  <c r="I679" i="31" s="1"/>
  <c r="H680" i="31"/>
  <c r="I680" i="31" s="1"/>
  <c r="H681" i="31"/>
  <c r="I681" i="31" s="1"/>
  <c r="H682" i="31"/>
  <c r="I682" i="31"/>
  <c r="H683" i="31"/>
  <c r="I683" i="31" s="1"/>
  <c r="H684" i="31"/>
  <c r="I684" i="31"/>
  <c r="H685" i="31"/>
  <c r="I685" i="31" s="1"/>
  <c r="H686" i="31"/>
  <c r="I686" i="31"/>
  <c r="H687" i="31"/>
  <c r="I687" i="31" s="1"/>
  <c r="H688" i="31"/>
  <c r="I688" i="31" s="1"/>
  <c r="H689" i="31"/>
  <c r="I689" i="31" s="1"/>
  <c r="H690" i="31"/>
  <c r="I690" i="31" s="1"/>
  <c r="H691" i="31"/>
  <c r="I691" i="31" s="1"/>
  <c r="H692" i="31"/>
  <c r="I692" i="31"/>
  <c r="H693" i="31"/>
  <c r="I693" i="31" s="1"/>
  <c r="H694" i="31"/>
  <c r="I694" i="31"/>
  <c r="H695" i="31"/>
  <c r="I695" i="31" s="1"/>
  <c r="H696" i="31"/>
  <c r="I696" i="31" s="1"/>
  <c r="H697" i="31"/>
  <c r="I697" i="31" s="1"/>
  <c r="H698" i="31"/>
  <c r="I698" i="31"/>
  <c r="H699" i="31"/>
  <c r="I699" i="31" s="1"/>
  <c r="H700" i="31"/>
  <c r="I700" i="31"/>
  <c r="H701" i="31"/>
  <c r="I701" i="31" s="1"/>
  <c r="H702" i="31"/>
  <c r="I702" i="31"/>
  <c r="H703" i="31"/>
  <c r="I703" i="31" s="1"/>
  <c r="H704" i="31"/>
  <c r="I704" i="31" s="1"/>
  <c r="H705" i="31"/>
  <c r="I705" i="31" s="1"/>
  <c r="H706" i="31"/>
  <c r="I706" i="31" s="1"/>
  <c r="H707" i="31"/>
  <c r="I707" i="31" s="1"/>
  <c r="H708" i="31"/>
  <c r="I708" i="31"/>
  <c r="H709" i="31"/>
  <c r="I709" i="31" s="1"/>
  <c r="H710" i="31"/>
  <c r="I710" i="31"/>
  <c r="H711" i="31"/>
  <c r="I711" i="31" s="1"/>
  <c r="H712" i="31"/>
  <c r="I712" i="31" s="1"/>
  <c r="H713" i="31"/>
  <c r="I713" i="31" s="1"/>
  <c r="H714" i="31"/>
  <c r="I714" i="31"/>
  <c r="H715" i="31"/>
  <c r="I715" i="31" s="1"/>
  <c r="H716" i="31"/>
  <c r="I716" i="31"/>
  <c r="H717" i="31"/>
  <c r="I717" i="31" s="1"/>
  <c r="H718" i="31"/>
  <c r="I718" i="31"/>
  <c r="H719" i="31"/>
  <c r="I719" i="31" s="1"/>
  <c r="H720" i="31"/>
  <c r="I720" i="31" s="1"/>
  <c r="H721" i="31"/>
  <c r="I721" i="31" s="1"/>
  <c r="H722" i="31"/>
  <c r="I722" i="31" s="1"/>
  <c r="H723" i="31"/>
  <c r="I723" i="31" s="1"/>
  <c r="H724" i="31"/>
  <c r="I724" i="31"/>
  <c r="H725" i="31"/>
  <c r="I725" i="31" s="1"/>
  <c r="H726" i="31"/>
  <c r="I726" i="31"/>
  <c r="H727" i="31"/>
  <c r="I727" i="31" s="1"/>
  <c r="H728" i="31"/>
  <c r="I728" i="31" s="1"/>
  <c r="H729" i="31"/>
  <c r="I729" i="31" s="1"/>
  <c r="H730" i="31"/>
  <c r="I730" i="31"/>
  <c r="H731" i="31"/>
  <c r="I731" i="31" s="1"/>
  <c r="H732" i="31"/>
  <c r="I732" i="31"/>
  <c r="H733" i="31"/>
  <c r="I733" i="31" s="1"/>
  <c r="H734" i="31"/>
  <c r="I734" i="31"/>
  <c r="H735" i="31"/>
  <c r="I735" i="31" s="1"/>
  <c r="H736" i="31"/>
  <c r="I736" i="31" s="1"/>
  <c r="H737" i="31"/>
  <c r="I737" i="31" s="1"/>
  <c r="H738" i="31"/>
  <c r="I738" i="31" s="1"/>
  <c r="H739" i="31"/>
  <c r="I739" i="31" s="1"/>
  <c r="H740" i="31"/>
  <c r="I740" i="31"/>
  <c r="H741" i="31"/>
  <c r="I741" i="31" s="1"/>
  <c r="H742" i="31"/>
  <c r="I742" i="31"/>
  <c r="H743" i="31"/>
  <c r="I743" i="31" s="1"/>
  <c r="H744" i="31"/>
  <c r="I744" i="31" s="1"/>
  <c r="H745" i="31"/>
  <c r="I745" i="31" s="1"/>
  <c r="H746" i="31"/>
  <c r="I746" i="31"/>
  <c r="H747" i="31"/>
  <c r="I747" i="31" s="1"/>
  <c r="H748" i="31"/>
  <c r="I748" i="31"/>
  <c r="H749" i="31"/>
  <c r="I749" i="31" s="1"/>
  <c r="H750" i="31"/>
  <c r="I750" i="31"/>
  <c r="H751" i="31"/>
  <c r="I751" i="31" s="1"/>
  <c r="H752" i="31"/>
  <c r="I752" i="31" s="1"/>
  <c r="H753" i="31"/>
  <c r="I753" i="31" s="1"/>
  <c r="H754" i="31"/>
  <c r="I754" i="31" s="1"/>
  <c r="H755" i="31"/>
  <c r="I755" i="31" s="1"/>
  <c r="H756" i="31"/>
  <c r="I756" i="31"/>
  <c r="H757" i="31"/>
  <c r="I757" i="31" s="1"/>
  <c r="H758" i="31"/>
  <c r="I758" i="31"/>
  <c r="H759" i="31"/>
  <c r="I759" i="31" s="1"/>
  <c r="H760" i="31"/>
  <c r="I760" i="31" s="1"/>
  <c r="H761" i="31"/>
  <c r="I761" i="31" s="1"/>
  <c r="H762" i="31"/>
  <c r="I762" i="31"/>
  <c r="H763" i="31"/>
  <c r="I763" i="31" s="1"/>
  <c r="H764" i="31"/>
  <c r="I764" i="31"/>
  <c r="H765" i="31"/>
  <c r="I765" i="31" s="1"/>
  <c r="H766" i="31"/>
  <c r="I766" i="31"/>
  <c r="H767" i="31"/>
  <c r="I767" i="31" s="1"/>
  <c r="H768" i="31"/>
  <c r="I768" i="31" s="1"/>
  <c r="H769" i="31"/>
  <c r="I769" i="31" s="1"/>
  <c r="H770" i="31"/>
  <c r="I770" i="31" s="1"/>
  <c r="H771" i="31"/>
  <c r="I771" i="31" s="1"/>
  <c r="H772" i="31"/>
  <c r="I772" i="31"/>
  <c r="H773" i="31"/>
  <c r="I773" i="31" s="1"/>
  <c r="H774" i="31"/>
  <c r="I774" i="31"/>
  <c r="H775" i="31"/>
  <c r="I775" i="31" s="1"/>
  <c r="H776" i="31"/>
  <c r="I776" i="31" s="1"/>
  <c r="H777" i="31"/>
  <c r="I777" i="31" s="1"/>
  <c r="H778" i="31"/>
  <c r="I778" i="31"/>
  <c r="H779" i="31"/>
  <c r="I779" i="31" s="1"/>
  <c r="H780" i="31"/>
  <c r="I780" i="31"/>
  <c r="H781" i="31"/>
  <c r="I781" i="31" s="1"/>
  <c r="H782" i="31"/>
  <c r="I782" i="31"/>
  <c r="H783" i="31"/>
  <c r="I783" i="31" s="1"/>
  <c r="H784" i="31"/>
  <c r="I784" i="31" s="1"/>
  <c r="H785" i="31"/>
  <c r="I785" i="31" s="1"/>
  <c r="H786" i="31"/>
  <c r="I786" i="31" s="1"/>
  <c r="H787" i="31"/>
  <c r="I787" i="31" s="1"/>
  <c r="H788" i="31"/>
  <c r="I788" i="31"/>
  <c r="H789" i="31"/>
  <c r="I789" i="31" s="1"/>
  <c r="H790" i="31"/>
  <c r="I790" i="31"/>
  <c r="H791" i="31"/>
  <c r="I791" i="31" s="1"/>
  <c r="H792" i="31"/>
  <c r="I792" i="31" s="1"/>
  <c r="H793" i="31"/>
  <c r="I793" i="31" s="1"/>
  <c r="H794" i="31"/>
  <c r="I794" i="31"/>
  <c r="H795" i="31"/>
  <c r="I795" i="31" s="1"/>
  <c r="H796" i="31"/>
  <c r="I796" i="31"/>
  <c r="H797" i="31"/>
  <c r="I797" i="31" s="1"/>
  <c r="H798" i="31"/>
  <c r="I798" i="31"/>
  <c r="H799" i="31"/>
  <c r="I799" i="31" s="1"/>
  <c r="H800" i="31"/>
  <c r="I800" i="31" s="1"/>
  <c r="H801" i="31"/>
  <c r="I801" i="31" s="1"/>
  <c r="H802" i="31"/>
  <c r="I802" i="31" s="1"/>
  <c r="H803" i="31"/>
  <c r="I803" i="31" s="1"/>
  <c r="H804" i="31"/>
  <c r="I804" i="31" s="1"/>
  <c r="H805" i="31"/>
  <c r="I805" i="31" s="1"/>
  <c r="H806" i="31"/>
  <c r="I806" i="31"/>
  <c r="H807" i="31"/>
  <c r="I807" i="31" s="1"/>
  <c r="H808" i="31"/>
  <c r="I808" i="31" s="1"/>
  <c r="H809" i="31"/>
  <c r="I809" i="31" s="1"/>
  <c r="H810" i="31"/>
  <c r="I810" i="31"/>
  <c r="H811" i="31"/>
  <c r="I811" i="31" s="1"/>
  <c r="H812" i="31"/>
  <c r="I812" i="31"/>
  <c r="H813" i="31"/>
  <c r="I813" i="31" s="1"/>
  <c r="H814" i="31"/>
  <c r="I814" i="31"/>
  <c r="H815" i="31"/>
  <c r="I815" i="31" s="1"/>
  <c r="H816" i="31"/>
  <c r="I816" i="31" s="1"/>
  <c r="H817" i="31"/>
  <c r="I817" i="31" s="1"/>
  <c r="H818" i="31"/>
  <c r="I818" i="31" s="1"/>
  <c r="H819" i="31"/>
  <c r="I819" i="31"/>
  <c r="H820" i="31"/>
  <c r="I820" i="31"/>
  <c r="H821" i="31"/>
  <c r="I821" i="31" s="1"/>
  <c r="H822" i="31"/>
  <c r="I822" i="31"/>
  <c r="H823" i="31"/>
  <c r="I823" i="31" s="1"/>
  <c r="H824" i="31"/>
  <c r="I824" i="31"/>
  <c r="H825" i="31"/>
  <c r="I825" i="31" s="1"/>
  <c r="H826" i="31"/>
  <c r="I826" i="31"/>
  <c r="H827" i="31"/>
  <c r="I827" i="31" s="1"/>
  <c r="H828" i="31"/>
  <c r="I828" i="31"/>
  <c r="H829" i="31"/>
  <c r="I829" i="31"/>
  <c r="H830" i="31"/>
  <c r="I830" i="31"/>
  <c r="H831" i="31"/>
  <c r="I831" i="31" s="1"/>
  <c r="H832" i="31"/>
  <c r="I832" i="31"/>
  <c r="H833" i="31"/>
  <c r="I833" i="31"/>
  <c r="H834" i="31"/>
  <c r="I834" i="31"/>
  <c r="H835" i="31"/>
  <c r="I835" i="31" s="1"/>
  <c r="H836" i="31"/>
  <c r="I836" i="31"/>
  <c r="H837" i="31"/>
  <c r="I837" i="31"/>
  <c r="H838" i="31"/>
  <c r="I838" i="31"/>
  <c r="H839" i="31"/>
  <c r="I839" i="31" s="1"/>
  <c r="H840" i="31"/>
  <c r="I840" i="31"/>
  <c r="H841" i="31"/>
  <c r="I841" i="31"/>
  <c r="H842" i="31"/>
  <c r="I842" i="31"/>
  <c r="H843" i="31"/>
  <c r="I843" i="31" s="1"/>
  <c r="H844" i="31"/>
  <c r="I844" i="31"/>
  <c r="H845" i="31"/>
  <c r="I845" i="31"/>
  <c r="H846" i="31"/>
  <c r="I846" i="31"/>
  <c r="H847" i="31"/>
  <c r="I847" i="31" s="1"/>
  <c r="H848" i="31"/>
  <c r="I848" i="31"/>
  <c r="H849" i="31"/>
  <c r="I849" i="31"/>
  <c r="H850" i="31"/>
  <c r="I850" i="31"/>
  <c r="H851" i="31"/>
  <c r="I851" i="31" s="1"/>
  <c r="H852" i="31"/>
  <c r="I852" i="31"/>
  <c r="H853" i="31"/>
  <c r="I853" i="31"/>
  <c r="H854" i="31"/>
  <c r="I854" i="31"/>
  <c r="H855" i="31"/>
  <c r="I855" i="31" s="1"/>
  <c r="H856" i="31"/>
  <c r="I856" i="31"/>
  <c r="H857" i="31"/>
  <c r="I857" i="31"/>
  <c r="H858" i="31"/>
  <c r="I858" i="31"/>
  <c r="H859" i="31"/>
  <c r="I859" i="31" s="1"/>
  <c r="H860" i="31"/>
  <c r="I860" i="31"/>
  <c r="H861" i="31"/>
  <c r="I861" i="31"/>
  <c r="H862" i="31"/>
  <c r="I862" i="31"/>
  <c r="H863" i="31"/>
  <c r="I863" i="31" s="1"/>
  <c r="H864" i="31"/>
  <c r="I864" i="31"/>
  <c r="H865" i="31"/>
  <c r="I865" i="31"/>
  <c r="H866" i="31"/>
  <c r="I866" i="31"/>
  <c r="H867" i="31"/>
  <c r="I867" i="31" s="1"/>
  <c r="H868" i="31"/>
  <c r="I868" i="31"/>
  <c r="H869" i="31"/>
  <c r="I869" i="31"/>
  <c r="H870" i="31"/>
  <c r="I870" i="31"/>
  <c r="H871" i="31"/>
  <c r="I871" i="31" s="1"/>
  <c r="H872" i="31"/>
  <c r="I872" i="31"/>
  <c r="H873" i="31"/>
  <c r="I873" i="31"/>
  <c r="H874" i="31"/>
  <c r="I874" i="31"/>
  <c r="H875" i="31"/>
  <c r="I875" i="31" s="1"/>
  <c r="H876" i="31"/>
  <c r="I876" i="31"/>
  <c r="H877" i="31"/>
  <c r="I877" i="31"/>
  <c r="H878" i="31"/>
  <c r="I878" i="31"/>
  <c r="H879" i="31"/>
  <c r="I879" i="31" s="1"/>
  <c r="H880" i="31"/>
  <c r="I880" i="31"/>
  <c r="H881" i="31"/>
  <c r="I881" i="31"/>
  <c r="H882" i="31"/>
  <c r="I882" i="31"/>
  <c r="H883" i="31"/>
  <c r="I883" i="31" s="1"/>
  <c r="H884" i="31"/>
  <c r="I884" i="31"/>
  <c r="H885" i="31"/>
  <c r="I885" i="31"/>
  <c r="H886" i="31"/>
  <c r="I886" i="31"/>
  <c r="H887" i="31"/>
  <c r="I887" i="31" s="1"/>
  <c r="H888" i="31"/>
  <c r="I888" i="31"/>
  <c r="H889" i="31"/>
  <c r="I889" i="31"/>
  <c r="H890" i="31"/>
  <c r="I890" i="31"/>
  <c r="H891" i="31"/>
  <c r="I891" i="31" s="1"/>
  <c r="H892" i="31"/>
  <c r="I892" i="31"/>
  <c r="H893" i="31"/>
  <c r="I893" i="31"/>
  <c r="H894" i="31"/>
  <c r="I894" i="31"/>
  <c r="H895" i="31"/>
  <c r="I895" i="31" s="1"/>
  <c r="H896" i="31"/>
  <c r="I896" i="31"/>
  <c r="H897" i="31"/>
  <c r="I897" i="31"/>
  <c r="H898" i="31"/>
  <c r="I898" i="31"/>
  <c r="H899" i="31"/>
  <c r="I899" i="31" s="1"/>
  <c r="H900" i="31"/>
  <c r="I900" i="31"/>
  <c r="H901" i="31"/>
  <c r="I901" i="31"/>
  <c r="H902" i="31"/>
  <c r="I902" i="31"/>
  <c r="H903" i="31"/>
  <c r="I903" i="31" s="1"/>
  <c r="H904" i="31"/>
  <c r="I904" i="31"/>
  <c r="H905" i="31"/>
  <c r="I905" i="31"/>
  <c r="H906" i="31"/>
  <c r="I906" i="31"/>
  <c r="H907" i="31"/>
  <c r="I907" i="31" s="1"/>
  <c r="H908" i="31"/>
  <c r="I908" i="31"/>
  <c r="H909" i="31"/>
  <c r="I909" i="31"/>
  <c r="H910" i="31"/>
  <c r="I910" i="31"/>
  <c r="H911" i="31"/>
  <c r="I911" i="31" s="1"/>
  <c r="H912" i="31"/>
  <c r="I912" i="31"/>
  <c r="H913" i="31"/>
  <c r="I913" i="31"/>
  <c r="H914" i="31"/>
  <c r="I914" i="31"/>
  <c r="H915" i="31"/>
  <c r="I915" i="31" s="1"/>
  <c r="H916" i="31"/>
  <c r="I916" i="31"/>
  <c r="H917" i="31"/>
  <c r="I917" i="31"/>
  <c r="H918" i="31"/>
  <c r="I918" i="31"/>
  <c r="H919" i="31"/>
  <c r="I919" i="31" s="1"/>
  <c r="H920" i="31"/>
  <c r="I920" i="31"/>
  <c r="H921" i="31"/>
  <c r="I921" i="31"/>
  <c r="H922" i="31"/>
  <c r="I922" i="31"/>
  <c r="H923" i="31"/>
  <c r="I923" i="31" s="1"/>
  <c r="H924" i="31"/>
  <c r="I924" i="31"/>
  <c r="H925" i="31"/>
  <c r="I925" i="31"/>
  <c r="H926" i="31"/>
  <c r="I926" i="31"/>
  <c r="H927" i="31"/>
  <c r="I927" i="31" s="1"/>
  <c r="H928" i="31"/>
  <c r="I928" i="31"/>
  <c r="H929" i="31"/>
  <c r="I929" i="31"/>
  <c r="H930" i="31"/>
  <c r="I930" i="31"/>
  <c r="H931" i="31"/>
  <c r="I931" i="31" s="1"/>
  <c r="H932" i="31"/>
  <c r="I932" i="31"/>
  <c r="H933" i="31"/>
  <c r="I933" i="31"/>
  <c r="H934" i="31"/>
  <c r="I934" i="31"/>
  <c r="H935" i="31"/>
  <c r="I935" i="31" s="1"/>
  <c r="H936" i="31"/>
  <c r="I936" i="31"/>
  <c r="H937" i="31"/>
  <c r="I937" i="31"/>
  <c r="H938" i="31"/>
  <c r="I938" i="31"/>
  <c r="H939" i="31"/>
  <c r="I939" i="31" s="1"/>
  <c r="H940" i="31"/>
  <c r="I940" i="31"/>
  <c r="H941" i="31"/>
  <c r="I941" i="31"/>
  <c r="H942" i="31"/>
  <c r="I942" i="31"/>
  <c r="H943" i="31"/>
  <c r="I943" i="31" s="1"/>
  <c r="H944" i="31"/>
  <c r="I944" i="31"/>
  <c r="H945" i="31"/>
  <c r="I945" i="31"/>
  <c r="H946" i="31"/>
  <c r="I946" i="31"/>
  <c r="H947" i="31"/>
  <c r="I947" i="31" s="1"/>
  <c r="H948" i="31"/>
  <c r="I948" i="31"/>
  <c r="H949" i="31"/>
  <c r="I949" i="31"/>
  <c r="H950" i="31"/>
  <c r="I950" i="31"/>
  <c r="H951" i="31"/>
  <c r="I951" i="31" s="1"/>
  <c r="H952" i="31"/>
  <c r="I952" i="31"/>
  <c r="H953" i="31"/>
  <c r="I953" i="31"/>
  <c r="H954" i="31"/>
  <c r="I954" i="31"/>
  <c r="H955" i="31"/>
  <c r="I955" i="31" s="1"/>
  <c r="H956" i="31"/>
  <c r="I956" i="31"/>
  <c r="H957" i="31"/>
  <c r="I957" i="31"/>
  <c r="H958" i="31"/>
  <c r="I958" i="31"/>
  <c r="H959" i="31"/>
  <c r="I959" i="31" s="1"/>
  <c r="H960" i="31"/>
  <c r="I960" i="31"/>
  <c r="H961" i="31"/>
  <c r="I961" i="31"/>
  <c r="H962" i="31"/>
  <c r="I962" i="31"/>
  <c r="H963" i="31"/>
  <c r="I963" i="31" s="1"/>
  <c r="H964" i="31"/>
  <c r="I964" i="31"/>
  <c r="H965" i="31"/>
  <c r="I965" i="31"/>
  <c r="H966" i="31"/>
  <c r="I966" i="31"/>
  <c r="H967" i="31"/>
  <c r="I967" i="31" s="1"/>
  <c r="H968" i="31"/>
  <c r="I968" i="31"/>
  <c r="H969" i="31"/>
  <c r="I969" i="31"/>
  <c r="H970" i="31"/>
  <c r="I970" i="31"/>
  <c r="H971" i="31"/>
  <c r="I971" i="31" s="1"/>
  <c r="H972" i="31"/>
  <c r="I972" i="31"/>
  <c r="H973" i="31"/>
  <c r="I973" i="31"/>
  <c r="H974" i="31"/>
  <c r="I974" i="31"/>
  <c r="H975" i="31"/>
  <c r="I975" i="31" s="1"/>
  <c r="H976" i="31"/>
  <c r="I976" i="31"/>
  <c r="H977" i="31"/>
  <c r="I977" i="31"/>
  <c r="H978" i="31"/>
  <c r="I978" i="31"/>
  <c r="H979" i="31"/>
  <c r="I979" i="31" s="1"/>
  <c r="H980" i="31"/>
  <c r="I980" i="31"/>
  <c r="H981" i="31"/>
  <c r="I981" i="31"/>
  <c r="H982" i="31"/>
  <c r="I982" i="31"/>
  <c r="H983" i="31"/>
  <c r="I983" i="31" s="1"/>
  <c r="H984" i="31"/>
  <c r="I984" i="31" s="1"/>
  <c r="H985" i="31"/>
  <c r="I985" i="31"/>
  <c r="H986" i="31"/>
  <c r="I986" i="31"/>
  <c r="H987" i="31"/>
  <c r="I987" i="31" s="1"/>
  <c r="H988" i="31"/>
  <c r="I988" i="31" s="1"/>
  <c r="H989" i="31"/>
  <c r="I989" i="31"/>
  <c r="H990" i="31"/>
  <c r="I990" i="31"/>
  <c r="H991" i="31"/>
  <c r="I991" i="31" s="1"/>
  <c r="H992" i="31"/>
  <c r="I992" i="31" s="1"/>
  <c r="H993" i="31"/>
  <c r="I993" i="31"/>
  <c r="H994" i="31"/>
  <c r="I994" i="31"/>
  <c r="H995" i="31"/>
  <c r="I995" i="31" s="1"/>
  <c r="H996" i="31"/>
  <c r="I996" i="31" s="1"/>
  <c r="H997" i="31"/>
  <c r="I997" i="31"/>
  <c r="H998" i="31"/>
  <c r="I998" i="31"/>
  <c r="H999" i="31"/>
  <c r="I999" i="31" s="1"/>
  <c r="H1000" i="31"/>
  <c r="I1000" i="31" s="1"/>
  <c r="H1001" i="31"/>
  <c r="I1001" i="31"/>
  <c r="H1002" i="31"/>
  <c r="I1002" i="31"/>
  <c r="H1003" i="31"/>
  <c r="I1003" i="31" s="1"/>
  <c r="H1004" i="31"/>
  <c r="I1004" i="31" s="1"/>
  <c r="H1005" i="31"/>
  <c r="I1005" i="31"/>
  <c r="H1006" i="31"/>
  <c r="I1006" i="31"/>
  <c r="H1007" i="31"/>
  <c r="I1007" i="31" s="1"/>
  <c r="H1008" i="31"/>
  <c r="I1008" i="31" s="1"/>
  <c r="H1009" i="31"/>
  <c r="I1009" i="31"/>
  <c r="H1010" i="31"/>
  <c r="I1010" i="31"/>
  <c r="H1011" i="31"/>
  <c r="I1011" i="31" s="1"/>
  <c r="G6" i="46"/>
  <c r="G6" i="39"/>
  <c r="G7" i="39"/>
  <c r="G8" i="39"/>
  <c r="G11" i="39"/>
  <c r="G12" i="39"/>
  <c r="G13" i="39"/>
  <c r="G15" i="39"/>
  <c r="G16" i="39"/>
  <c r="G17" i="39"/>
  <c r="G18" i="39"/>
  <c r="G19" i="39"/>
  <c r="G20" i="39"/>
  <c r="G21" i="39"/>
  <c r="I12" i="31" l="1"/>
  <c r="L9" i="31" s="1"/>
  <c r="G25" i="39" s="1"/>
  <c r="L6" i="31"/>
  <c r="G22" i="39" s="1"/>
  <c r="L7" i="31"/>
  <c r="G23" i="39" s="1"/>
  <c r="L8" i="31"/>
  <c r="G24" i="39" s="1"/>
  <c r="J19" i="47"/>
  <c r="G14" i="39" s="1"/>
  <c r="J18" i="47"/>
  <c r="G13" i="47"/>
  <c r="F13" i="47"/>
  <c r="I18" i="47"/>
  <c r="I20" i="47" l="1"/>
  <c r="G9" i="39"/>
  <c r="J20" i="47"/>
  <c r="G10" i="39"/>
</calcChain>
</file>

<file path=xl/comments1.xml><?xml version="1.0" encoding="utf-8"?>
<comments xmlns="http://schemas.openxmlformats.org/spreadsheetml/2006/main" xmlns:mc="http://schemas.openxmlformats.org/markup-compatibility/2006" xmlns:xr="http://schemas.microsoft.com/office/spreadsheetml/2014/revision" mc:Ignorable="xr">
  <authors>
    <author>QAHHA7</author>
  </authors>
  <commentList>
    <comment ref="AQ1" authorId="0" shapeId="0" xr:uid="{00000000-0006-0000-0A00-000001000000}">
      <text>
        <r>
          <rPr>
            <sz val="8"/>
            <color rgb="FF000000"/>
            <rFont val="Tahoma"/>
            <family val="2"/>
          </rPr>
          <t>1</t>
        </r>
      </text>
    </comment>
    <comment ref="AR1" authorId="0" shapeId="0" xr:uid="{00000000-0006-0000-0A00-000002000000}">
      <text>
        <r>
          <rPr>
            <sz val="8"/>
            <color rgb="FF000000"/>
            <rFont val="Tahoma"/>
            <family val="2"/>
          </rPr>
          <t>2</t>
        </r>
      </text>
    </comment>
    <comment ref="M2" authorId="0" shapeId="0" xr:uid="{00000000-0006-0000-0A00-000003000000}">
      <text>
        <r>
          <rPr>
            <sz val="8"/>
            <color rgb="FF000000"/>
            <rFont val="Tahoma"/>
            <family val="2"/>
          </rPr>
          <t>6</t>
        </r>
      </text>
    </comment>
    <comment ref="O2" authorId="0" shapeId="0" xr:uid="{00000000-0006-0000-0A00-000004000000}">
      <text>
        <r>
          <rPr>
            <sz val="8"/>
            <color rgb="FF000000"/>
            <rFont val="Tahoma"/>
            <family val="2"/>
          </rPr>
          <t>1</t>
        </r>
      </text>
    </comment>
    <comment ref="P2" authorId="0" shapeId="0" xr:uid="{00000000-0006-0000-0A00-000005000000}">
      <text>
        <r>
          <rPr>
            <sz val="8"/>
            <color rgb="FF000000"/>
            <rFont val="Tahoma"/>
            <family val="2"/>
          </rPr>
          <t>1</t>
        </r>
      </text>
    </comment>
    <comment ref="Q2" authorId="0" shapeId="0" xr:uid="{00000000-0006-0000-0A00-000006000000}">
      <text>
        <r>
          <rPr>
            <sz val="8"/>
            <color rgb="FF000000"/>
            <rFont val="Tahoma"/>
            <family val="2"/>
          </rPr>
          <t>12</t>
        </r>
      </text>
    </comment>
    <comment ref="U2" authorId="0" shapeId="0" xr:uid="{00000000-0006-0000-0A00-000007000000}">
      <text>
        <r>
          <rPr>
            <sz val="8"/>
            <color rgb="FF000000"/>
            <rFont val="Tahoma"/>
            <family val="2"/>
          </rPr>
          <t>True</t>
        </r>
      </text>
    </comment>
    <comment ref="X2" authorId="0" shapeId="0" xr:uid="{00000000-0006-0000-0A00-000008000000}">
      <text>
        <r>
          <rPr>
            <sz val="8"/>
            <color rgb="FF000000"/>
            <rFont val="Tahoma"/>
            <family val="2"/>
          </rPr>
          <t>1</t>
        </r>
      </text>
    </comment>
    <comment ref="AC2" authorId="0" shapeId="0" xr:uid="{00000000-0006-0000-0A00-000009000000}">
      <text>
        <r>
          <rPr>
            <sz val="8"/>
            <color rgb="FF000000"/>
            <rFont val="Tahoma"/>
            <family val="2"/>
          </rPr>
          <t>2</t>
        </r>
      </text>
    </comment>
    <comment ref="AD2" authorId="0" shapeId="0" xr:uid="{00000000-0006-0000-0A00-00000A000000}">
      <text>
        <r>
          <rPr>
            <sz val="8"/>
            <color rgb="FF000000"/>
            <rFont val="Tahoma"/>
            <family val="2"/>
          </rPr>
          <t>3</t>
        </r>
      </text>
    </comment>
    <comment ref="AE2" authorId="0" shapeId="0" xr:uid="{00000000-0006-0000-0A00-00000B000000}">
      <text>
        <r>
          <rPr>
            <sz val="8"/>
            <color rgb="FF000000"/>
            <rFont val="Tahoma"/>
            <family val="2"/>
          </rPr>
          <t>True</t>
        </r>
      </text>
    </comment>
    <comment ref="AQ2" authorId="0" shapeId="0" xr:uid="{00000000-0006-0000-0A00-00000C000000}">
      <text>
        <r>
          <rPr>
            <sz val="8"/>
            <color rgb="FF000000"/>
            <rFont val="Tahoma"/>
            <family val="2"/>
          </rPr>
          <t>5</t>
        </r>
      </text>
    </comment>
    <comment ref="AR2" authorId="0" shapeId="0" xr:uid="{00000000-0006-0000-0A00-00000D000000}">
      <text>
        <r>
          <rPr>
            <sz val="8"/>
            <color rgb="FF000000"/>
            <rFont val="Tahoma"/>
            <family val="2"/>
          </rPr>
          <t>1</t>
        </r>
      </text>
    </comment>
    <comment ref="M3" authorId="0" shapeId="0" xr:uid="{00000000-0006-0000-0A00-00000E000000}">
      <text>
        <r>
          <rPr>
            <sz val="8"/>
            <color rgb="FF000000"/>
            <rFont val="Tahoma"/>
            <family val="2"/>
          </rPr>
          <t>7</t>
        </r>
      </text>
    </comment>
    <comment ref="O3" authorId="0" shapeId="0" xr:uid="{00000000-0006-0000-0A00-00000F000000}">
      <text>
        <r>
          <rPr>
            <sz val="8"/>
            <color rgb="FF000000"/>
            <rFont val="Tahoma"/>
            <family val="2"/>
          </rPr>
          <t>1</t>
        </r>
      </text>
    </comment>
    <comment ref="P3" authorId="0" shapeId="0" xr:uid="{00000000-0006-0000-0A00-000010000000}">
      <text>
        <r>
          <rPr>
            <sz val="8"/>
            <color rgb="FF000000"/>
            <rFont val="Tahoma"/>
            <family val="2"/>
          </rPr>
          <t>2</t>
        </r>
      </text>
    </comment>
    <comment ref="Q3" authorId="0" shapeId="0" xr:uid="{00000000-0006-0000-0A00-000011000000}">
      <text>
        <r>
          <rPr>
            <sz val="8"/>
            <color rgb="FF000000"/>
            <rFont val="Tahoma"/>
            <family val="2"/>
          </rPr>
          <t>13</t>
        </r>
      </text>
    </comment>
    <comment ref="U3" authorId="0" shapeId="0" xr:uid="{00000000-0006-0000-0A00-000012000000}">
      <text>
        <r>
          <rPr>
            <sz val="8"/>
            <color rgb="FF000000"/>
            <rFont val="Tahoma"/>
            <family val="2"/>
          </rPr>
          <t>False</t>
        </r>
      </text>
    </comment>
    <comment ref="X3" authorId="0" shapeId="0" xr:uid="{00000000-0006-0000-0A00-000013000000}">
      <text>
        <r>
          <rPr>
            <sz val="8"/>
            <color rgb="FF000000"/>
            <rFont val="Tahoma"/>
            <family val="2"/>
          </rPr>
          <t>1</t>
        </r>
      </text>
    </comment>
    <comment ref="AC3" authorId="0" shapeId="0" xr:uid="{00000000-0006-0000-0A00-000014000000}">
      <text>
        <r>
          <rPr>
            <sz val="8"/>
            <color rgb="FF000000"/>
            <rFont val="Tahoma"/>
            <family val="2"/>
          </rPr>
          <t>1</t>
        </r>
      </text>
    </comment>
    <comment ref="AD3" authorId="0" shapeId="0" xr:uid="{00000000-0006-0000-0A00-000015000000}">
      <text>
        <r>
          <rPr>
            <sz val="8"/>
            <color rgb="FF000000"/>
            <rFont val="Tahoma"/>
            <family val="2"/>
          </rPr>
          <t>2</t>
        </r>
      </text>
    </comment>
    <comment ref="AE3" authorId="0" shapeId="0" xr:uid="{00000000-0006-0000-0A00-000016000000}">
      <text>
        <r>
          <rPr>
            <sz val="8"/>
            <color rgb="FF000000"/>
            <rFont val="Tahoma"/>
            <family val="2"/>
          </rPr>
          <t>False</t>
        </r>
      </text>
    </comment>
    <comment ref="AQ3" authorId="0" shapeId="0" xr:uid="{00000000-0006-0000-0A00-000017000000}">
      <text>
        <r>
          <rPr>
            <sz val="8"/>
            <color rgb="FF000000"/>
            <rFont val="Tahoma"/>
            <family val="2"/>
          </rPr>
          <t>4</t>
        </r>
      </text>
    </comment>
    <comment ref="AR3" authorId="0" shapeId="0" xr:uid="{00000000-0006-0000-0A00-000018000000}">
      <text>
        <r>
          <rPr>
            <sz val="8"/>
            <color rgb="FF000000"/>
            <rFont val="Tahoma"/>
            <family val="2"/>
          </rPr>
          <t>5</t>
        </r>
      </text>
    </comment>
    <comment ref="O4" authorId="0" shapeId="0" xr:uid="{00000000-0006-0000-0A00-000019000000}">
      <text>
        <r>
          <rPr>
            <sz val="8"/>
            <color rgb="FF000000"/>
            <rFont val="Tahoma"/>
            <family val="2"/>
          </rPr>
          <t>1</t>
        </r>
      </text>
    </comment>
    <comment ref="P4" authorId="0" shapeId="0" xr:uid="{00000000-0006-0000-0A00-00001A000000}">
      <text>
        <r>
          <rPr>
            <sz val="8"/>
            <color rgb="FF000000"/>
            <rFont val="Tahoma"/>
            <family val="2"/>
          </rPr>
          <t>3</t>
        </r>
      </text>
    </comment>
    <comment ref="Q4" authorId="0" shapeId="0" xr:uid="{00000000-0006-0000-0A00-00001B000000}">
      <text>
        <r>
          <rPr>
            <sz val="8"/>
            <color rgb="FF000000"/>
            <rFont val="Tahoma"/>
            <family val="2"/>
          </rPr>
          <t>14</t>
        </r>
      </text>
    </comment>
    <comment ref="X4" authorId="0" shapeId="0" xr:uid="{00000000-0006-0000-0A00-00001C000000}">
      <text>
        <r>
          <rPr>
            <sz val="8"/>
            <color rgb="FF000000"/>
            <rFont val="Tahoma"/>
            <family val="2"/>
          </rPr>
          <t>1</t>
        </r>
      </text>
    </comment>
    <comment ref="AC4" authorId="0" shapeId="0" xr:uid="{00000000-0006-0000-0A00-00001D000000}">
      <text>
        <r>
          <rPr>
            <sz val="8"/>
            <color rgb="FF000000"/>
            <rFont val="Tahoma"/>
            <family val="2"/>
          </rPr>
          <t>5</t>
        </r>
      </text>
    </comment>
    <comment ref="AD4" authorId="0" shapeId="0" xr:uid="{00000000-0006-0000-0A00-00001E000000}">
      <text>
        <r>
          <rPr>
            <sz val="8"/>
            <color rgb="FF000000"/>
            <rFont val="Tahoma"/>
            <family val="2"/>
          </rPr>
          <t>1</t>
        </r>
      </text>
    </comment>
    <comment ref="AQ4" authorId="0" shapeId="0" xr:uid="{00000000-0006-0000-0A00-00001F000000}">
      <text>
        <r>
          <rPr>
            <sz val="8"/>
            <color rgb="FF000000"/>
            <rFont val="Tahoma"/>
            <family val="2"/>
          </rPr>
          <t>3</t>
        </r>
      </text>
    </comment>
    <comment ref="AR4" authorId="0" shapeId="0" xr:uid="{00000000-0006-0000-0A00-000020000000}">
      <text>
        <r>
          <rPr>
            <sz val="8"/>
            <color rgb="FF000000"/>
            <rFont val="Tahoma"/>
            <family val="2"/>
          </rPr>
          <t>4</t>
        </r>
      </text>
    </comment>
    <comment ref="O5" authorId="0" shapeId="0" xr:uid="{00000000-0006-0000-0A00-000021000000}">
      <text>
        <r>
          <rPr>
            <sz val="8"/>
            <color rgb="FF000000"/>
            <rFont val="Tahoma"/>
            <family val="2"/>
          </rPr>
          <t>1</t>
        </r>
      </text>
    </comment>
    <comment ref="P5" authorId="0" shapeId="0" xr:uid="{00000000-0006-0000-0A00-000022000000}">
      <text>
        <r>
          <rPr>
            <sz val="8"/>
            <color rgb="FF000000"/>
            <rFont val="Tahoma"/>
            <family val="2"/>
          </rPr>
          <t>4</t>
        </r>
      </text>
    </comment>
    <comment ref="Q5" authorId="0" shapeId="0" xr:uid="{00000000-0006-0000-0A00-000023000000}">
      <text>
        <r>
          <rPr>
            <sz val="8"/>
            <color rgb="FF000000"/>
            <rFont val="Tahoma"/>
            <family val="2"/>
          </rPr>
          <t>15</t>
        </r>
      </text>
    </comment>
    <comment ref="X5" authorId="0" shapeId="0" xr:uid="{00000000-0006-0000-0A00-000024000000}">
      <text>
        <r>
          <rPr>
            <sz val="8"/>
            <color rgb="FF000000"/>
            <rFont val="Tahoma"/>
            <family val="2"/>
          </rPr>
          <t>1</t>
        </r>
      </text>
    </comment>
    <comment ref="AC5" authorId="0" shapeId="0" xr:uid="{00000000-0006-0000-0A00-000025000000}">
      <text>
        <r>
          <rPr>
            <sz val="8"/>
            <color rgb="FF000000"/>
            <rFont val="Tahoma"/>
            <family val="2"/>
          </rPr>
          <t>4</t>
        </r>
      </text>
    </comment>
    <comment ref="AR5" authorId="0" shapeId="0" xr:uid="{00000000-0006-0000-0A00-000026000000}">
      <text>
        <r>
          <rPr>
            <sz val="8"/>
            <color rgb="FF000000"/>
            <rFont val="Tahoma"/>
            <family val="2"/>
          </rPr>
          <t>3</t>
        </r>
      </text>
    </comment>
    <comment ref="P6" authorId="0" shapeId="0" xr:uid="{00000000-0006-0000-0A00-000027000000}">
      <text>
        <r>
          <rPr>
            <sz val="8"/>
            <color rgb="FF000000"/>
            <rFont val="Tahoma"/>
            <family val="2"/>
          </rPr>
          <t>5</t>
        </r>
      </text>
    </comment>
    <comment ref="Q6" authorId="0" shapeId="0" xr:uid="{00000000-0006-0000-0A00-000028000000}">
      <text>
        <r>
          <rPr>
            <sz val="8"/>
            <color rgb="FF000000"/>
            <rFont val="Tahoma"/>
            <family val="2"/>
          </rPr>
          <t>218</t>
        </r>
      </text>
    </comment>
    <comment ref="AC6" authorId="0" shapeId="0" xr:uid="{00000000-0006-0000-0A00-000029000000}">
      <text>
        <r>
          <rPr>
            <sz val="8"/>
            <color rgb="FF000000"/>
            <rFont val="Tahoma"/>
            <family val="2"/>
          </rPr>
          <t>3</t>
        </r>
      </text>
    </comment>
    <comment ref="P7" authorId="0" shapeId="0" xr:uid="{00000000-0006-0000-0A00-00002A000000}">
      <text>
        <r>
          <rPr>
            <sz val="8"/>
            <color rgb="FF000000"/>
            <rFont val="Tahoma"/>
            <family val="2"/>
          </rPr>
          <t>6</t>
        </r>
      </text>
    </comment>
    <comment ref="Q7" authorId="0" shapeId="0" xr:uid="{00000000-0006-0000-0A00-00002B000000}">
      <text>
        <r>
          <rPr>
            <sz val="8"/>
            <color rgb="FF000000"/>
            <rFont val="Tahoma"/>
            <family val="2"/>
          </rPr>
          <t>219</t>
        </r>
      </text>
    </comment>
    <comment ref="P8" authorId="0" shapeId="0" xr:uid="{00000000-0006-0000-0A00-00002C000000}">
      <text>
        <r>
          <rPr>
            <sz val="8"/>
            <color rgb="FF000000"/>
            <rFont val="Tahoma"/>
            <family val="2"/>
          </rPr>
          <t>7</t>
        </r>
      </text>
    </comment>
    <comment ref="Q8" authorId="0" shapeId="0" xr:uid="{00000000-0006-0000-0A00-00002D000000}">
      <text>
        <r>
          <rPr>
            <sz val="8"/>
            <color rgb="FF000000"/>
            <rFont val="Tahoma"/>
            <family val="2"/>
          </rPr>
          <t>16</t>
        </r>
      </text>
    </comment>
    <comment ref="P9" authorId="0" shapeId="0" xr:uid="{00000000-0006-0000-0A00-00002E000000}">
      <text>
        <r>
          <rPr>
            <sz val="8"/>
            <color rgb="FF000000"/>
            <rFont val="Tahoma"/>
            <family val="2"/>
          </rPr>
          <t>8</t>
        </r>
      </text>
    </comment>
    <comment ref="Q9" authorId="0" shapeId="0" xr:uid="{00000000-0006-0000-0A00-00002F000000}">
      <text>
        <r>
          <rPr>
            <sz val="8"/>
            <color rgb="FF000000"/>
            <rFont val="Tahoma"/>
            <family val="2"/>
          </rPr>
          <t>17</t>
        </r>
      </text>
    </comment>
    <comment ref="P10" authorId="0" shapeId="0" xr:uid="{00000000-0006-0000-0A00-000030000000}">
      <text>
        <r>
          <rPr>
            <sz val="8"/>
            <color rgb="FF000000"/>
            <rFont val="Tahoma"/>
            <family val="2"/>
          </rPr>
          <t>168</t>
        </r>
      </text>
    </comment>
    <comment ref="Q10" authorId="0" shapeId="0" xr:uid="{00000000-0006-0000-0A00-000031000000}">
      <text>
        <r>
          <rPr>
            <sz val="8"/>
            <color rgb="FF000000"/>
            <rFont val="Tahoma"/>
            <family val="2"/>
          </rPr>
          <t>18</t>
        </r>
      </text>
    </comment>
    <comment ref="P11" authorId="0" shapeId="0" xr:uid="{00000000-0006-0000-0A00-000032000000}">
      <text>
        <r>
          <rPr>
            <sz val="8"/>
            <color rgb="FF000000"/>
            <rFont val="Tahoma"/>
            <family val="2"/>
          </rPr>
          <t>9</t>
        </r>
      </text>
    </comment>
    <comment ref="Q11" authorId="0" shapeId="0" xr:uid="{00000000-0006-0000-0A00-000033000000}">
      <text>
        <r>
          <rPr>
            <sz val="8"/>
            <color rgb="FF000000"/>
            <rFont val="Tahoma"/>
            <family val="2"/>
          </rPr>
          <t>19</t>
        </r>
      </text>
    </comment>
    <comment ref="P12" authorId="0" shapeId="0" xr:uid="{00000000-0006-0000-0A00-000034000000}">
      <text>
        <r>
          <rPr>
            <sz val="8"/>
            <color rgb="FF000000"/>
            <rFont val="Tahoma"/>
            <family val="2"/>
          </rPr>
          <t>10</t>
        </r>
      </text>
    </comment>
    <comment ref="Q12" authorId="0" shapeId="0" xr:uid="{00000000-0006-0000-0A00-000035000000}">
      <text>
        <r>
          <rPr>
            <sz val="8"/>
            <color rgb="FF000000"/>
            <rFont val="Tahoma"/>
            <family val="2"/>
          </rPr>
          <t>20</t>
        </r>
      </text>
    </comment>
    <comment ref="P13" authorId="0" shapeId="0" xr:uid="{00000000-0006-0000-0A00-000036000000}">
      <text>
        <r>
          <rPr>
            <sz val="8"/>
            <color rgb="FF000000"/>
            <rFont val="Tahoma"/>
            <family val="2"/>
          </rPr>
          <t>11</t>
        </r>
      </text>
    </comment>
    <comment ref="Q13" authorId="0" shapeId="0" xr:uid="{00000000-0006-0000-0A00-000037000000}">
      <text>
        <r>
          <rPr>
            <sz val="8"/>
            <color rgb="FF000000"/>
            <rFont val="Tahoma"/>
            <family val="2"/>
          </rPr>
          <t>21</t>
        </r>
      </text>
    </comment>
    <comment ref="Q14" authorId="0" shapeId="0" xr:uid="{00000000-0006-0000-0A00-000038000000}">
      <text>
        <r>
          <rPr>
            <sz val="8"/>
            <color rgb="FF000000"/>
            <rFont val="Tahoma"/>
            <family val="2"/>
          </rPr>
          <t>22</t>
        </r>
      </text>
    </comment>
    <comment ref="Q15" authorId="0" shapeId="0" xr:uid="{00000000-0006-0000-0A00-000039000000}">
      <text>
        <r>
          <rPr>
            <sz val="8"/>
            <color rgb="FF000000"/>
            <rFont val="Tahoma"/>
            <family val="2"/>
          </rPr>
          <t>220</t>
        </r>
      </text>
    </comment>
    <comment ref="Q16" authorId="0" shapeId="0" xr:uid="{00000000-0006-0000-0A00-00003A000000}">
      <text>
        <r>
          <rPr>
            <sz val="8"/>
            <color rgb="FF000000"/>
            <rFont val="Tahoma"/>
            <family val="2"/>
          </rPr>
          <t>23</t>
        </r>
      </text>
    </comment>
    <comment ref="Q17" authorId="0" shapeId="0" xr:uid="{00000000-0006-0000-0A00-00003B000000}">
      <text>
        <r>
          <rPr>
            <sz val="8"/>
            <color rgb="FF000000"/>
            <rFont val="Tahoma"/>
            <family val="2"/>
          </rPr>
          <t>24</t>
        </r>
      </text>
    </comment>
    <comment ref="Q18" authorId="0" shapeId="0" xr:uid="{00000000-0006-0000-0A00-00003C000000}">
      <text>
        <r>
          <rPr>
            <sz val="8"/>
            <color rgb="FF000000"/>
            <rFont val="Tahoma"/>
            <family val="2"/>
          </rPr>
          <t>25</t>
        </r>
      </text>
    </comment>
    <comment ref="Q19" authorId="0" shapeId="0" xr:uid="{00000000-0006-0000-0A00-00003D000000}">
      <text>
        <r>
          <rPr>
            <sz val="8"/>
            <color rgb="FF000000"/>
            <rFont val="Tahoma"/>
            <family val="2"/>
          </rPr>
          <t>170</t>
        </r>
      </text>
    </comment>
    <comment ref="Q20" authorId="0" shapeId="0" xr:uid="{00000000-0006-0000-0A00-00003E000000}">
      <text>
        <r>
          <rPr>
            <sz val="8"/>
            <color rgb="FF000000"/>
            <rFont val="Tahoma"/>
            <family val="2"/>
          </rPr>
          <t>26</t>
        </r>
      </text>
    </comment>
    <comment ref="Q21" authorId="0" shapeId="0" xr:uid="{00000000-0006-0000-0A00-00003F000000}">
      <text>
        <r>
          <rPr>
            <sz val="8"/>
            <color rgb="FF000000"/>
            <rFont val="Tahoma"/>
            <family val="2"/>
          </rPr>
          <t>27</t>
        </r>
      </text>
    </comment>
    <comment ref="Q22" authorId="0" shapeId="0" xr:uid="{00000000-0006-0000-0A00-000040000000}">
      <text>
        <r>
          <rPr>
            <sz val="8"/>
            <color rgb="FF000000"/>
            <rFont val="Tahoma"/>
            <family val="2"/>
          </rPr>
          <t>221</t>
        </r>
      </text>
    </comment>
    <comment ref="Q23" authorId="0" shapeId="0" xr:uid="{00000000-0006-0000-0A00-000041000000}">
      <text>
        <r>
          <rPr>
            <sz val="8"/>
            <color rgb="FF000000"/>
            <rFont val="Tahoma"/>
            <family val="2"/>
          </rPr>
          <t>28</t>
        </r>
      </text>
    </comment>
    <comment ref="Q24" authorId="0" shapeId="0" xr:uid="{00000000-0006-0000-0A00-000042000000}">
      <text>
        <r>
          <rPr>
            <sz val="8"/>
            <color rgb="FF000000"/>
            <rFont val="Tahoma"/>
            <family val="2"/>
          </rPr>
          <t>29</t>
        </r>
      </text>
    </comment>
    <comment ref="Q25" authorId="0" shapeId="0" xr:uid="{00000000-0006-0000-0A00-000043000000}">
      <text>
        <r>
          <rPr>
            <sz val="8"/>
            <color rgb="FF000000"/>
            <rFont val="Tahoma"/>
            <family val="2"/>
          </rPr>
          <t>30</t>
        </r>
      </text>
    </comment>
    <comment ref="Q26" authorId="0" shapeId="0" xr:uid="{00000000-0006-0000-0A00-000044000000}">
      <text>
        <r>
          <rPr>
            <sz val="8"/>
            <color rgb="FF000000"/>
            <rFont val="Tahoma"/>
            <family val="2"/>
          </rPr>
          <t>222</t>
        </r>
      </text>
    </comment>
    <comment ref="Q27" authorId="0" shapeId="0" xr:uid="{00000000-0006-0000-0A00-000045000000}">
      <text>
        <r>
          <rPr>
            <sz val="8"/>
            <color rgb="FF000000"/>
            <rFont val="Tahoma"/>
            <family val="2"/>
          </rPr>
          <t>31</t>
        </r>
      </text>
    </comment>
    <comment ref="Q28" authorId="0" shapeId="0" xr:uid="{00000000-0006-0000-0A00-000046000000}">
      <text>
        <r>
          <rPr>
            <sz val="8"/>
            <color rgb="FF000000"/>
            <rFont val="Tahoma"/>
            <family val="2"/>
          </rPr>
          <t>32</t>
        </r>
      </text>
    </comment>
    <comment ref="Q29" authorId="0" shapeId="0" xr:uid="{00000000-0006-0000-0A00-000047000000}">
      <text>
        <r>
          <rPr>
            <sz val="8"/>
            <color rgb="FF000000"/>
            <rFont val="Tahoma"/>
            <family val="2"/>
          </rPr>
          <t>33</t>
        </r>
      </text>
    </comment>
    <comment ref="Q30" authorId="0" shapeId="0" xr:uid="{00000000-0006-0000-0A00-000048000000}">
      <text>
        <r>
          <rPr>
            <sz val="8"/>
            <color rgb="FF000000"/>
            <rFont val="Tahoma"/>
            <family val="2"/>
          </rPr>
          <t>34</t>
        </r>
      </text>
    </comment>
    <comment ref="Q31" authorId="0" shapeId="0" xr:uid="{00000000-0006-0000-0A00-000049000000}">
      <text>
        <r>
          <rPr>
            <sz val="8"/>
            <color rgb="FF000000"/>
            <rFont val="Tahoma"/>
            <family val="2"/>
          </rPr>
          <t>211</t>
        </r>
      </text>
    </comment>
    <comment ref="Q32" authorId="0" shapeId="0" xr:uid="{00000000-0006-0000-0A00-00004A000000}">
      <text>
        <r>
          <rPr>
            <sz val="8"/>
            <color rgb="FF000000"/>
            <rFont val="Tahoma"/>
            <family val="2"/>
          </rPr>
          <t>212</t>
        </r>
      </text>
    </comment>
    <comment ref="Q33" authorId="0" shapeId="0" xr:uid="{00000000-0006-0000-0A00-00004B000000}">
      <text>
        <r>
          <rPr>
            <sz val="8"/>
            <color rgb="FF000000"/>
            <rFont val="Tahoma"/>
            <family val="2"/>
          </rPr>
          <t>35</t>
        </r>
      </text>
    </comment>
    <comment ref="Q34" authorId="0" shapeId="0" xr:uid="{00000000-0006-0000-0A00-00004C000000}">
      <text>
        <r>
          <rPr>
            <sz val="8"/>
            <color rgb="FF000000"/>
            <rFont val="Tahoma"/>
            <family val="2"/>
          </rPr>
          <t>36</t>
        </r>
      </text>
    </comment>
    <comment ref="Q35" authorId="0" shapeId="0" xr:uid="{00000000-0006-0000-0A00-00004D000000}">
      <text>
        <r>
          <rPr>
            <sz val="8"/>
            <color rgb="FF000000"/>
            <rFont val="Tahoma"/>
            <family val="2"/>
          </rPr>
          <t>37</t>
        </r>
      </text>
    </comment>
    <comment ref="Q36" authorId="0" shapeId="0" xr:uid="{00000000-0006-0000-0A00-00004E000000}">
      <text>
        <r>
          <rPr>
            <sz val="8"/>
            <color rgb="FF000000"/>
            <rFont val="Tahoma"/>
            <family val="2"/>
          </rPr>
          <t>38</t>
        </r>
      </text>
    </comment>
    <comment ref="Q37" authorId="0" shapeId="0" xr:uid="{00000000-0006-0000-0A00-00004F000000}">
      <text>
        <r>
          <rPr>
            <sz val="8"/>
            <color rgb="FF000000"/>
            <rFont val="Tahoma"/>
            <family val="2"/>
          </rPr>
          <t>171</t>
        </r>
      </text>
    </comment>
    <comment ref="Q38" authorId="0" shapeId="0" xr:uid="{00000000-0006-0000-0A00-000050000000}">
      <text>
        <r>
          <rPr>
            <sz val="8"/>
            <color rgb="FF000000"/>
            <rFont val="Tahoma"/>
            <family val="2"/>
          </rPr>
          <t>39</t>
        </r>
      </text>
    </comment>
    <comment ref="Q39" authorId="0" shapeId="0" xr:uid="{00000000-0006-0000-0A00-000051000000}">
      <text>
        <r>
          <rPr>
            <sz val="8"/>
            <color rgb="FF000000"/>
            <rFont val="Tahoma"/>
            <family val="2"/>
          </rPr>
          <t>213</t>
        </r>
      </text>
    </comment>
    <comment ref="Q40" authorId="0" shapeId="0" xr:uid="{00000000-0006-0000-0A00-000052000000}">
      <text>
        <r>
          <rPr>
            <sz val="8"/>
            <color rgb="FF000000"/>
            <rFont val="Tahoma"/>
            <family val="2"/>
          </rPr>
          <t>40</t>
        </r>
      </text>
    </comment>
    <comment ref="Q41" authorId="0" shapeId="0" xr:uid="{00000000-0006-0000-0A00-000053000000}">
      <text>
        <r>
          <rPr>
            <sz val="8"/>
            <color rgb="FF000000"/>
            <rFont val="Tahoma"/>
            <family val="2"/>
          </rPr>
          <t>41</t>
        </r>
      </text>
    </comment>
    <comment ref="Q42" authorId="0" shapeId="0" xr:uid="{00000000-0006-0000-0A00-000054000000}">
      <text>
        <r>
          <rPr>
            <sz val="8"/>
            <color rgb="FF000000"/>
            <rFont val="Tahoma"/>
            <family val="2"/>
          </rPr>
          <t>42</t>
        </r>
      </text>
    </comment>
    <comment ref="Q43" authorId="0" shapeId="0" xr:uid="{00000000-0006-0000-0A00-000055000000}">
      <text>
        <r>
          <rPr>
            <sz val="8"/>
            <color rgb="FF000000"/>
            <rFont val="Tahoma"/>
            <family val="2"/>
          </rPr>
          <t>43</t>
        </r>
      </text>
    </comment>
    <comment ref="Q44" authorId="0" shapeId="0" xr:uid="{00000000-0006-0000-0A00-000056000000}">
      <text>
        <r>
          <rPr>
            <sz val="8"/>
            <color rgb="FF000000"/>
            <rFont val="Tahoma"/>
            <family val="2"/>
          </rPr>
          <t>214</t>
        </r>
      </text>
    </comment>
    <comment ref="Q45" authorId="0" shapeId="0" xr:uid="{00000000-0006-0000-0A00-000057000000}">
      <text>
        <r>
          <rPr>
            <sz val="8"/>
            <color rgb="FF000000"/>
            <rFont val="Tahoma"/>
            <family val="2"/>
          </rPr>
          <t>44</t>
        </r>
      </text>
    </comment>
    <comment ref="Q46" authorId="0" shapeId="0" xr:uid="{00000000-0006-0000-0A00-000058000000}">
      <text>
        <r>
          <rPr>
            <sz val="8"/>
            <color rgb="FF000000"/>
            <rFont val="Tahoma"/>
            <family val="2"/>
          </rPr>
          <t>215</t>
        </r>
      </text>
    </comment>
    <comment ref="Q47" authorId="0" shapeId="0" xr:uid="{00000000-0006-0000-0A00-000059000000}">
      <text>
        <r>
          <rPr>
            <sz val="8"/>
            <color rgb="FF000000"/>
            <rFont val="Tahoma"/>
            <family val="2"/>
          </rPr>
          <t>45</t>
        </r>
      </text>
    </comment>
    <comment ref="Q48" authorId="0" shapeId="0" xr:uid="{00000000-0006-0000-0A00-00005A000000}">
      <text>
        <r>
          <rPr>
            <sz val="8"/>
            <color rgb="FF000000"/>
            <rFont val="Tahoma"/>
            <family val="2"/>
          </rPr>
          <t>216</t>
        </r>
      </text>
    </comment>
    <comment ref="Q49" authorId="0" shapeId="0" xr:uid="{00000000-0006-0000-0A00-00005B000000}">
      <text>
        <r>
          <rPr>
            <sz val="8"/>
            <color rgb="FF000000"/>
            <rFont val="Tahoma"/>
            <family val="2"/>
          </rPr>
          <t>46</t>
        </r>
      </text>
    </comment>
    <comment ref="Q50" authorId="0" shapeId="0" xr:uid="{00000000-0006-0000-0A00-00005C000000}">
      <text>
        <r>
          <rPr>
            <sz val="8"/>
            <color rgb="FF000000"/>
            <rFont val="Tahoma"/>
            <family val="2"/>
          </rPr>
          <t>47</t>
        </r>
      </text>
    </comment>
    <comment ref="Q51" authorId="0" shapeId="0" xr:uid="{00000000-0006-0000-0A00-00005D000000}">
      <text>
        <r>
          <rPr>
            <sz val="8"/>
            <color rgb="FF000000"/>
            <rFont val="Tahoma"/>
            <family val="2"/>
          </rPr>
          <t>217</t>
        </r>
      </text>
    </comment>
    <comment ref="Q52" authorId="0" shapeId="0" xr:uid="{00000000-0006-0000-0A00-00005E000000}">
      <text>
        <r>
          <rPr>
            <sz val="8"/>
            <color rgb="FF000000"/>
            <rFont val="Tahoma"/>
            <family val="2"/>
          </rPr>
          <t>48</t>
        </r>
      </text>
    </comment>
    <comment ref="Q53" authorId="0" shapeId="0" xr:uid="{00000000-0006-0000-0A00-00005F000000}">
      <text>
        <r>
          <rPr>
            <sz val="8"/>
            <color rgb="FF000000"/>
            <rFont val="Tahoma"/>
            <family val="2"/>
          </rPr>
          <t>49</t>
        </r>
      </text>
    </comment>
    <comment ref="Q54" authorId="0" shapeId="0" xr:uid="{00000000-0006-0000-0A00-000060000000}">
      <text>
        <r>
          <rPr>
            <sz val="8"/>
            <color rgb="FF000000"/>
            <rFont val="Tahoma"/>
            <family val="2"/>
          </rPr>
          <t>50</t>
        </r>
      </text>
    </comment>
    <comment ref="Q55" authorId="0" shapeId="0" xr:uid="{00000000-0006-0000-0A00-000061000000}">
      <text>
        <r>
          <rPr>
            <sz val="8"/>
            <color rgb="FF000000"/>
            <rFont val="Tahoma"/>
            <family val="2"/>
          </rPr>
          <t>51</t>
        </r>
      </text>
    </comment>
    <comment ref="Q56" authorId="0" shapeId="0" xr:uid="{00000000-0006-0000-0A00-000062000000}">
      <text>
        <r>
          <rPr>
            <sz val="8"/>
            <color rgb="FF000000"/>
            <rFont val="Tahoma"/>
            <family val="2"/>
          </rPr>
          <t>52</t>
        </r>
      </text>
    </comment>
    <comment ref="Q57" authorId="0" shapeId="0" xr:uid="{00000000-0006-0000-0A00-000063000000}">
      <text>
        <r>
          <rPr>
            <sz val="8"/>
            <color rgb="FF000000"/>
            <rFont val="Tahoma"/>
            <family val="2"/>
          </rPr>
          <t>193</t>
        </r>
      </text>
    </comment>
    <comment ref="Q58" authorId="0" shapeId="0" xr:uid="{00000000-0006-0000-0A00-000064000000}">
      <text>
        <r>
          <rPr>
            <sz val="8"/>
            <color rgb="FF000000"/>
            <rFont val="Tahoma"/>
            <family val="2"/>
          </rPr>
          <t>194</t>
        </r>
      </text>
    </comment>
    <comment ref="Q59" authorId="0" shapeId="0" xr:uid="{00000000-0006-0000-0A00-000065000000}">
      <text>
        <r>
          <rPr>
            <sz val="8"/>
            <color rgb="FF000000"/>
            <rFont val="Tahoma"/>
            <family val="2"/>
          </rPr>
          <t>53</t>
        </r>
      </text>
    </comment>
    <comment ref="Q60" authorId="0" shapeId="0" xr:uid="{00000000-0006-0000-0A00-000066000000}">
      <text>
        <r>
          <rPr>
            <sz val="8"/>
            <color rgb="FF000000"/>
            <rFont val="Tahoma"/>
            <family val="2"/>
          </rPr>
          <t>54</t>
        </r>
      </text>
    </comment>
    <comment ref="Q61" authorId="0" shapeId="0" xr:uid="{00000000-0006-0000-0A00-000067000000}">
      <text>
        <r>
          <rPr>
            <sz val="8"/>
            <color rgb="FF000000"/>
            <rFont val="Tahoma"/>
            <family val="2"/>
          </rPr>
          <t>55</t>
        </r>
      </text>
    </comment>
    <comment ref="Q62" authorId="0" shapeId="0" xr:uid="{00000000-0006-0000-0A00-000068000000}">
      <text>
        <r>
          <rPr>
            <sz val="8"/>
            <color rgb="FF000000"/>
            <rFont val="Tahoma"/>
            <family val="2"/>
          </rPr>
          <t>56</t>
        </r>
      </text>
    </comment>
    <comment ref="Q63" authorId="0" shapeId="0" xr:uid="{00000000-0006-0000-0A00-000069000000}">
      <text>
        <r>
          <rPr>
            <sz val="8"/>
            <color rgb="FF000000"/>
            <rFont val="Tahoma"/>
            <family val="2"/>
          </rPr>
          <t>57</t>
        </r>
      </text>
    </comment>
    <comment ref="Q64" authorId="0" shapeId="0" xr:uid="{00000000-0006-0000-0A00-00006A000000}">
      <text>
        <r>
          <rPr>
            <sz val="8"/>
            <color rgb="FF000000"/>
            <rFont val="Tahoma"/>
            <family val="2"/>
          </rPr>
          <t>58</t>
        </r>
      </text>
    </comment>
    <comment ref="Q65" authorId="0" shapeId="0" xr:uid="{00000000-0006-0000-0A00-00006B000000}">
      <text>
        <r>
          <rPr>
            <sz val="8"/>
            <color rgb="FF000000"/>
            <rFont val="Tahoma"/>
            <family val="2"/>
          </rPr>
          <t>172</t>
        </r>
      </text>
    </comment>
    <comment ref="Q66" authorId="0" shapeId="0" xr:uid="{00000000-0006-0000-0A00-00006C000000}">
      <text>
        <r>
          <rPr>
            <sz val="8"/>
            <color rgb="FF000000"/>
            <rFont val="Tahoma"/>
            <family val="2"/>
          </rPr>
          <t>59</t>
        </r>
      </text>
    </comment>
    <comment ref="Q67" authorId="0" shapeId="0" xr:uid="{00000000-0006-0000-0A00-00006D000000}">
      <text>
        <r>
          <rPr>
            <sz val="8"/>
            <color rgb="FF000000"/>
            <rFont val="Tahoma"/>
            <family val="2"/>
          </rPr>
          <t>60</t>
        </r>
      </text>
    </comment>
    <comment ref="Q68" authorId="0" shapeId="0" xr:uid="{00000000-0006-0000-0A00-00006E000000}">
      <text>
        <r>
          <rPr>
            <sz val="8"/>
            <color rgb="FF000000"/>
            <rFont val="Tahoma"/>
            <family val="2"/>
          </rPr>
          <t>61</t>
        </r>
      </text>
    </comment>
    <comment ref="Q69" authorId="0" shapeId="0" xr:uid="{00000000-0006-0000-0A00-00006F000000}">
      <text>
        <r>
          <rPr>
            <sz val="8"/>
            <color rgb="FF000000"/>
            <rFont val="Tahoma"/>
            <family val="2"/>
          </rPr>
          <t>62</t>
        </r>
      </text>
    </comment>
    <comment ref="Q70" authorId="0" shapeId="0" xr:uid="{00000000-0006-0000-0A00-000070000000}">
      <text>
        <r>
          <rPr>
            <sz val="8"/>
            <color rgb="FF000000"/>
            <rFont val="Tahoma"/>
            <family val="2"/>
          </rPr>
          <t>63</t>
        </r>
      </text>
    </comment>
    <comment ref="Q71" authorId="0" shapeId="0" xr:uid="{00000000-0006-0000-0A00-000071000000}">
      <text>
        <r>
          <rPr>
            <sz val="8"/>
            <color rgb="FF000000"/>
            <rFont val="Tahoma"/>
            <family val="2"/>
          </rPr>
          <t>64</t>
        </r>
      </text>
    </comment>
    <comment ref="Q72" authorId="0" shapeId="0" xr:uid="{00000000-0006-0000-0A00-000072000000}">
      <text>
        <r>
          <rPr>
            <sz val="8"/>
            <color rgb="FF000000"/>
            <rFont val="Tahoma"/>
            <family val="2"/>
          </rPr>
          <t>65</t>
        </r>
      </text>
    </comment>
    <comment ref="Q73" authorId="0" shapeId="0" xr:uid="{00000000-0006-0000-0A00-000073000000}">
      <text>
        <r>
          <rPr>
            <sz val="8"/>
            <color rgb="FF000000"/>
            <rFont val="Tahoma"/>
            <family val="2"/>
          </rPr>
          <t>195</t>
        </r>
      </text>
    </comment>
    <comment ref="Q74" authorId="0" shapeId="0" xr:uid="{00000000-0006-0000-0A00-000074000000}">
      <text>
        <r>
          <rPr>
            <sz val="8"/>
            <color rgb="FF000000"/>
            <rFont val="Tahoma"/>
            <family val="2"/>
          </rPr>
          <t>66</t>
        </r>
      </text>
    </comment>
    <comment ref="Q75" authorId="0" shapeId="0" xr:uid="{00000000-0006-0000-0A00-000075000000}">
      <text>
        <r>
          <rPr>
            <sz val="8"/>
            <color rgb="FF000000"/>
            <rFont val="Tahoma"/>
            <family val="2"/>
          </rPr>
          <t>223</t>
        </r>
      </text>
    </comment>
    <comment ref="Q76" authorId="0" shapeId="0" xr:uid="{00000000-0006-0000-0A00-000076000000}">
      <text>
        <r>
          <rPr>
            <sz val="8"/>
            <color rgb="FF000000"/>
            <rFont val="Tahoma"/>
            <family val="2"/>
          </rPr>
          <t>67</t>
        </r>
      </text>
    </comment>
    <comment ref="Q77" authorId="0" shapeId="0" xr:uid="{00000000-0006-0000-0A00-000077000000}">
      <text>
        <r>
          <rPr>
            <sz val="8"/>
            <color rgb="FF000000"/>
            <rFont val="Tahoma"/>
            <family val="2"/>
          </rPr>
          <t>224</t>
        </r>
      </text>
    </comment>
    <comment ref="Q78" authorId="0" shapeId="0" xr:uid="{00000000-0006-0000-0A00-000078000000}">
      <text>
        <r>
          <rPr>
            <sz val="8"/>
            <color rgb="FF000000"/>
            <rFont val="Tahoma"/>
            <family val="2"/>
          </rPr>
          <t>68</t>
        </r>
      </text>
    </comment>
    <comment ref="Q79" authorId="0" shapeId="0" xr:uid="{00000000-0006-0000-0A00-000079000000}">
      <text>
        <r>
          <rPr>
            <sz val="8"/>
            <color rgb="FF000000"/>
            <rFont val="Tahoma"/>
            <family val="2"/>
          </rPr>
          <t>225</t>
        </r>
      </text>
    </comment>
    <comment ref="Q80" authorId="0" shapeId="0" xr:uid="{00000000-0006-0000-0A00-00007A000000}">
      <text>
        <r>
          <rPr>
            <sz val="8"/>
            <color rgb="FF000000"/>
            <rFont val="Tahoma"/>
            <family val="2"/>
          </rPr>
          <t>69</t>
        </r>
      </text>
    </comment>
    <comment ref="Q81" authorId="0" shapeId="0" xr:uid="{00000000-0006-0000-0A00-00007B000000}">
      <text>
        <r>
          <rPr>
            <sz val="8"/>
            <color rgb="FF000000"/>
            <rFont val="Tahoma"/>
            <family val="2"/>
          </rPr>
          <t>70</t>
        </r>
      </text>
    </comment>
    <comment ref="Q82" authorId="0" shapeId="0" xr:uid="{00000000-0006-0000-0A00-00007C000000}">
      <text>
        <r>
          <rPr>
            <sz val="8"/>
            <color rgb="FF000000"/>
            <rFont val="Tahoma"/>
            <family val="2"/>
          </rPr>
          <t>71</t>
        </r>
      </text>
    </comment>
    <comment ref="Q83" authorId="0" shapeId="0" xr:uid="{00000000-0006-0000-0A00-00007D000000}">
      <text>
        <r>
          <rPr>
            <sz val="8"/>
            <color rgb="FF000000"/>
            <rFont val="Tahoma"/>
            <family val="2"/>
          </rPr>
          <t>226</t>
        </r>
      </text>
    </comment>
    <comment ref="Q84" authorId="0" shapeId="0" xr:uid="{00000000-0006-0000-0A00-00007E000000}">
      <text>
        <r>
          <rPr>
            <sz val="8"/>
            <color rgb="FF000000"/>
            <rFont val="Tahoma"/>
            <family val="2"/>
          </rPr>
          <t>227</t>
        </r>
      </text>
    </comment>
    <comment ref="Q85" authorId="0" shapeId="0" xr:uid="{00000000-0006-0000-0A00-00007F000000}">
      <text>
        <r>
          <rPr>
            <sz val="8"/>
            <color rgb="FF000000"/>
            <rFont val="Tahoma"/>
            <family val="2"/>
          </rPr>
          <t>228</t>
        </r>
      </text>
    </comment>
    <comment ref="Q86" authorId="0" shapeId="0" xr:uid="{00000000-0006-0000-0A00-000080000000}">
      <text>
        <r>
          <rPr>
            <sz val="8"/>
            <color rgb="FF000000"/>
            <rFont val="Tahoma"/>
            <family val="2"/>
          </rPr>
          <t>72</t>
        </r>
      </text>
    </comment>
    <comment ref="Q87" authorId="0" shapeId="0" xr:uid="{00000000-0006-0000-0A00-000081000000}">
      <text>
        <r>
          <rPr>
            <sz val="8"/>
            <color rgb="FF000000"/>
            <rFont val="Tahoma"/>
            <family val="2"/>
          </rPr>
          <t>73</t>
        </r>
      </text>
    </comment>
    <comment ref="Q88" authorId="0" shapeId="0" xr:uid="{00000000-0006-0000-0A00-000082000000}">
      <text>
        <r>
          <rPr>
            <sz val="8"/>
            <color rgb="FF000000"/>
            <rFont val="Tahoma"/>
            <family val="2"/>
          </rPr>
          <t>74</t>
        </r>
      </text>
    </comment>
    <comment ref="Q89" authorId="0" shapeId="0" xr:uid="{00000000-0006-0000-0A00-000083000000}">
      <text>
        <r>
          <rPr>
            <sz val="8"/>
            <color rgb="FF000000"/>
            <rFont val="Tahoma"/>
            <family val="2"/>
          </rPr>
          <t>229</t>
        </r>
      </text>
    </comment>
    <comment ref="Q90" authorId="0" shapeId="0" xr:uid="{00000000-0006-0000-0A00-000084000000}">
      <text>
        <r>
          <rPr>
            <sz val="8"/>
            <color rgb="FF000000"/>
            <rFont val="Tahoma"/>
            <family val="2"/>
          </rPr>
          <t>75</t>
        </r>
      </text>
    </comment>
    <comment ref="Q91" authorId="0" shapeId="0" xr:uid="{00000000-0006-0000-0A00-000085000000}">
      <text>
        <r>
          <rPr>
            <sz val="8"/>
            <color rgb="FF000000"/>
            <rFont val="Tahoma"/>
            <family val="2"/>
          </rPr>
          <t>230</t>
        </r>
      </text>
    </comment>
    <comment ref="Q92" authorId="0" shapeId="0" xr:uid="{00000000-0006-0000-0A00-000086000000}">
      <text>
        <r>
          <rPr>
            <sz val="8"/>
            <color rgb="FF000000"/>
            <rFont val="Tahoma"/>
            <family val="2"/>
          </rPr>
          <t>173</t>
        </r>
      </text>
    </comment>
    <comment ref="Q93" authorId="0" shapeId="0" xr:uid="{00000000-0006-0000-0A00-000087000000}">
      <text>
        <r>
          <rPr>
            <sz val="8"/>
            <color rgb="FF000000"/>
            <rFont val="Tahoma"/>
            <family val="2"/>
          </rPr>
          <t>231</t>
        </r>
      </text>
    </comment>
    <comment ref="Q94" authorId="0" shapeId="0" xr:uid="{00000000-0006-0000-0A00-000088000000}">
      <text>
        <r>
          <rPr>
            <sz val="8"/>
            <color rgb="FF000000"/>
            <rFont val="Tahoma"/>
            <family val="2"/>
          </rPr>
          <t>76</t>
        </r>
      </text>
    </comment>
    <comment ref="Q95" authorId="0" shapeId="0" xr:uid="{00000000-0006-0000-0A00-000089000000}">
      <text>
        <r>
          <rPr>
            <sz val="8"/>
            <color rgb="FF000000"/>
            <rFont val="Tahoma"/>
            <family val="2"/>
          </rPr>
          <t>232</t>
        </r>
      </text>
    </comment>
    <comment ref="Q96" authorId="0" shapeId="0" xr:uid="{00000000-0006-0000-0A00-00008A000000}">
      <text>
        <r>
          <rPr>
            <sz val="8"/>
            <color rgb="FF000000"/>
            <rFont val="Tahoma"/>
            <family val="2"/>
          </rPr>
          <t>233</t>
        </r>
      </text>
    </comment>
    <comment ref="Q97" authorId="0" shapeId="0" xr:uid="{00000000-0006-0000-0A00-00008B000000}">
      <text>
        <r>
          <rPr>
            <sz val="8"/>
            <color rgb="FF000000"/>
            <rFont val="Tahoma"/>
            <family val="2"/>
          </rPr>
          <t>234</t>
        </r>
      </text>
    </comment>
    <comment ref="Q98" authorId="0" shapeId="0" xr:uid="{00000000-0006-0000-0A00-00008C000000}">
      <text>
        <r>
          <rPr>
            <sz val="8"/>
            <color rgb="FF000000"/>
            <rFont val="Tahoma"/>
            <family val="2"/>
          </rPr>
          <t>77</t>
        </r>
      </text>
    </comment>
    <comment ref="Q99" authorId="0" shapeId="0" xr:uid="{00000000-0006-0000-0A00-00008D000000}">
      <text>
        <r>
          <rPr>
            <sz val="8"/>
            <color rgb="FF000000"/>
            <rFont val="Tahoma"/>
            <family val="2"/>
          </rPr>
          <t>187</t>
        </r>
      </text>
    </comment>
    <comment ref="Q100" authorId="0" shapeId="0" xr:uid="{00000000-0006-0000-0A00-00008E000000}">
      <text>
        <r>
          <rPr>
            <sz val="8"/>
            <color rgb="FF000000"/>
            <rFont val="Tahoma"/>
            <family val="2"/>
          </rPr>
          <t>78</t>
        </r>
      </text>
    </comment>
    <comment ref="Q101" authorId="0" shapeId="0" xr:uid="{00000000-0006-0000-0A00-00008F000000}">
      <text>
        <r>
          <rPr>
            <sz val="8"/>
            <color rgb="FF000000"/>
            <rFont val="Tahoma"/>
            <family val="2"/>
          </rPr>
          <t>188</t>
        </r>
      </text>
    </comment>
    <comment ref="Q102" authorId="0" shapeId="0" xr:uid="{00000000-0006-0000-0A00-000090000000}">
      <text>
        <r>
          <rPr>
            <sz val="8"/>
            <color rgb="FF000000"/>
            <rFont val="Tahoma"/>
            <family val="2"/>
          </rPr>
          <t>79</t>
        </r>
      </text>
    </comment>
    <comment ref="Q103" authorId="0" shapeId="0" xr:uid="{00000000-0006-0000-0A00-000091000000}">
      <text>
        <r>
          <rPr>
            <sz val="8"/>
            <color rgb="FF000000"/>
            <rFont val="Tahoma"/>
            <family val="2"/>
          </rPr>
          <t>189</t>
        </r>
      </text>
    </comment>
    <comment ref="Q104" authorId="0" shapeId="0" xr:uid="{00000000-0006-0000-0A00-000092000000}">
      <text>
        <r>
          <rPr>
            <sz val="8"/>
            <color rgb="FF000000"/>
            <rFont val="Tahoma"/>
            <family val="2"/>
          </rPr>
          <t>80</t>
        </r>
      </text>
    </comment>
    <comment ref="Q105" authorId="0" shapeId="0" xr:uid="{00000000-0006-0000-0A00-000093000000}">
      <text>
        <r>
          <rPr>
            <sz val="8"/>
            <color rgb="FF000000"/>
            <rFont val="Tahoma"/>
            <family val="2"/>
          </rPr>
          <t>81</t>
        </r>
      </text>
    </comment>
    <comment ref="Q106" authorId="0" shapeId="0" xr:uid="{00000000-0006-0000-0A00-000094000000}">
      <text>
        <r>
          <rPr>
            <sz val="8"/>
            <color rgb="FF000000"/>
            <rFont val="Tahoma"/>
            <family val="2"/>
          </rPr>
          <t>82</t>
        </r>
      </text>
    </comment>
    <comment ref="Q107" authorId="0" shapeId="0" xr:uid="{00000000-0006-0000-0A00-000095000000}">
      <text>
        <r>
          <rPr>
            <sz val="8"/>
            <color rgb="FF000000"/>
            <rFont val="Tahoma"/>
            <family val="2"/>
          </rPr>
          <t>190</t>
        </r>
      </text>
    </comment>
    <comment ref="Q108" authorId="0" shapeId="0" xr:uid="{00000000-0006-0000-0A00-000096000000}">
      <text>
        <r>
          <rPr>
            <sz val="8"/>
            <color rgb="FF000000"/>
            <rFont val="Tahoma"/>
            <family val="2"/>
          </rPr>
          <t>191</t>
        </r>
      </text>
    </comment>
    <comment ref="Q109" authorId="0" shapeId="0" xr:uid="{00000000-0006-0000-0A00-000097000000}">
      <text>
        <r>
          <rPr>
            <sz val="8"/>
            <color rgb="FF000000"/>
            <rFont val="Tahoma"/>
            <family val="2"/>
          </rPr>
          <t>83</t>
        </r>
      </text>
    </comment>
    <comment ref="Q110" authorId="0" shapeId="0" xr:uid="{00000000-0006-0000-0A00-000098000000}">
      <text>
        <r>
          <rPr>
            <sz val="8"/>
            <color rgb="FF000000"/>
            <rFont val="Tahoma"/>
            <family val="2"/>
          </rPr>
          <t>84</t>
        </r>
      </text>
    </comment>
    <comment ref="Q111" authorId="0" shapeId="0" xr:uid="{00000000-0006-0000-0A00-000099000000}">
      <text>
        <r>
          <rPr>
            <sz val="8"/>
            <color rgb="FF000000"/>
            <rFont val="Tahoma"/>
            <family val="2"/>
          </rPr>
          <t>85</t>
        </r>
      </text>
    </comment>
    <comment ref="Q112" authorId="0" shapeId="0" xr:uid="{00000000-0006-0000-0A00-00009A000000}">
      <text>
        <r>
          <rPr>
            <sz val="8"/>
            <color rgb="FF000000"/>
            <rFont val="Tahoma"/>
            <family val="2"/>
          </rPr>
          <t>174</t>
        </r>
      </text>
    </comment>
    <comment ref="Q113" authorId="0" shapeId="0" xr:uid="{00000000-0006-0000-0A00-00009B000000}">
      <text>
        <r>
          <rPr>
            <sz val="8"/>
            <color rgb="FF000000"/>
            <rFont val="Tahoma"/>
            <family val="2"/>
          </rPr>
          <t>86</t>
        </r>
      </text>
    </comment>
    <comment ref="Q114" authorId="0" shapeId="0" xr:uid="{00000000-0006-0000-0A00-00009C000000}">
      <text>
        <r>
          <rPr>
            <sz val="8"/>
            <color rgb="FF000000"/>
            <rFont val="Tahoma"/>
            <family val="2"/>
          </rPr>
          <t>87</t>
        </r>
      </text>
    </comment>
    <comment ref="Q115" authorId="0" shapeId="0" xr:uid="{00000000-0006-0000-0A00-00009D000000}">
      <text>
        <r>
          <rPr>
            <sz val="8"/>
            <color rgb="FF000000"/>
            <rFont val="Tahoma"/>
            <family val="2"/>
          </rPr>
          <t>192</t>
        </r>
      </text>
    </comment>
    <comment ref="Q116" authorId="0" shapeId="0" xr:uid="{00000000-0006-0000-0A00-00009E000000}">
      <text>
        <r>
          <rPr>
            <sz val="8"/>
            <color rgb="FF000000"/>
            <rFont val="Tahoma"/>
            <family val="2"/>
          </rPr>
          <t>88</t>
        </r>
      </text>
    </comment>
    <comment ref="Q117" authorId="0" shapeId="0" xr:uid="{00000000-0006-0000-0A00-00009F000000}">
      <text>
        <r>
          <rPr>
            <sz val="8"/>
            <color rgb="FF000000"/>
            <rFont val="Tahoma"/>
            <family val="2"/>
          </rPr>
          <t>89</t>
        </r>
      </text>
    </comment>
    <comment ref="Q118" authorId="0" shapeId="0" xr:uid="{00000000-0006-0000-0A00-0000A0000000}">
      <text>
        <r>
          <rPr>
            <sz val="8"/>
            <color rgb="FF000000"/>
            <rFont val="Tahoma"/>
            <family val="2"/>
          </rPr>
          <t>90</t>
        </r>
      </text>
    </comment>
    <comment ref="Q119" authorId="0" shapeId="0" xr:uid="{00000000-0006-0000-0A00-0000A1000000}">
      <text>
        <r>
          <rPr>
            <sz val="8"/>
            <color rgb="FF000000"/>
            <rFont val="Tahoma"/>
            <family val="2"/>
          </rPr>
          <t>91</t>
        </r>
      </text>
    </comment>
    <comment ref="Q120" authorId="0" shapeId="0" xr:uid="{00000000-0006-0000-0A00-0000A2000000}">
      <text>
        <r>
          <rPr>
            <sz val="8"/>
            <color rgb="FF000000"/>
            <rFont val="Tahoma"/>
            <family val="2"/>
          </rPr>
          <t>242</t>
        </r>
      </text>
    </comment>
    <comment ref="Q121" authorId="0" shapeId="0" xr:uid="{00000000-0006-0000-0A00-0000A3000000}">
      <text>
        <r>
          <rPr>
            <sz val="8"/>
            <color rgb="FF000000"/>
            <rFont val="Tahoma"/>
            <family val="2"/>
          </rPr>
          <t>92</t>
        </r>
      </text>
    </comment>
    <comment ref="Q122" authorId="0" shapeId="0" xr:uid="{00000000-0006-0000-0A00-0000A4000000}">
      <text>
        <r>
          <rPr>
            <sz val="8"/>
            <color rgb="FF000000"/>
            <rFont val="Tahoma"/>
            <family val="2"/>
          </rPr>
          <t>93</t>
        </r>
      </text>
    </comment>
    <comment ref="Q123" authorId="0" shapeId="0" xr:uid="{00000000-0006-0000-0A00-0000A5000000}">
      <text>
        <r>
          <rPr>
            <sz val="8"/>
            <color rgb="FF000000"/>
            <rFont val="Tahoma"/>
            <family val="2"/>
          </rPr>
          <t>94</t>
        </r>
      </text>
    </comment>
    <comment ref="Q124" authorId="0" shapeId="0" xr:uid="{00000000-0006-0000-0A00-0000A6000000}">
      <text>
        <r>
          <rPr>
            <sz val="8"/>
            <color rgb="FF000000"/>
            <rFont val="Tahoma"/>
            <family val="2"/>
          </rPr>
          <t>95</t>
        </r>
      </text>
    </comment>
    <comment ref="Q125" authorId="0" shapeId="0" xr:uid="{00000000-0006-0000-0A00-0000A7000000}">
      <text>
        <r>
          <rPr>
            <sz val="8"/>
            <color rgb="FF000000"/>
            <rFont val="Tahoma"/>
            <family val="2"/>
          </rPr>
          <t>96</t>
        </r>
      </text>
    </comment>
    <comment ref="Q126" authorId="0" shapeId="0" xr:uid="{00000000-0006-0000-0A00-0000A8000000}">
      <text>
        <r>
          <rPr>
            <sz val="8"/>
            <color rgb="FF000000"/>
            <rFont val="Tahoma"/>
            <family val="2"/>
          </rPr>
          <t>243</t>
        </r>
      </text>
    </comment>
    <comment ref="Q127" authorId="0" shapeId="0" xr:uid="{00000000-0006-0000-0A00-0000A9000000}">
      <text>
        <r>
          <rPr>
            <sz val="8"/>
            <color rgb="FF000000"/>
            <rFont val="Tahoma"/>
            <family val="2"/>
          </rPr>
          <t>97</t>
        </r>
      </text>
    </comment>
    <comment ref="Q128" authorId="0" shapeId="0" xr:uid="{00000000-0006-0000-0A00-0000AA000000}">
      <text>
        <r>
          <rPr>
            <sz val="8"/>
            <color rgb="FF000000"/>
            <rFont val="Tahoma"/>
            <family val="2"/>
          </rPr>
          <t>98</t>
        </r>
      </text>
    </comment>
    <comment ref="Q129" authorId="0" shapeId="0" xr:uid="{00000000-0006-0000-0A00-0000AB000000}">
      <text>
        <r>
          <rPr>
            <sz val="8"/>
            <color rgb="FF000000"/>
            <rFont val="Tahoma"/>
            <family val="2"/>
          </rPr>
          <t>244</t>
        </r>
      </text>
    </comment>
    <comment ref="Q130" authorId="0" shapeId="0" xr:uid="{00000000-0006-0000-0A00-0000AC000000}">
      <text>
        <r>
          <rPr>
            <sz val="8"/>
            <color rgb="FF000000"/>
            <rFont val="Tahoma"/>
            <family val="2"/>
          </rPr>
          <t>175</t>
        </r>
      </text>
    </comment>
    <comment ref="Q131" authorId="0" shapeId="0" xr:uid="{00000000-0006-0000-0A00-0000AD000000}">
      <text>
        <r>
          <rPr>
            <sz val="8"/>
            <color rgb="FF000000"/>
            <rFont val="Tahoma"/>
            <family val="2"/>
          </rPr>
          <t>99</t>
        </r>
      </text>
    </comment>
    <comment ref="Q132" authorId="0" shapeId="0" xr:uid="{00000000-0006-0000-0A00-0000AE000000}">
      <text>
        <r>
          <rPr>
            <sz val="8"/>
            <color rgb="FF000000"/>
            <rFont val="Tahoma"/>
            <family val="2"/>
          </rPr>
          <t>245</t>
        </r>
      </text>
    </comment>
    <comment ref="Q133" authorId="0" shapeId="0" xr:uid="{00000000-0006-0000-0A00-0000AF000000}">
      <text>
        <r>
          <rPr>
            <sz val="8"/>
            <color rgb="FF000000"/>
            <rFont val="Tahoma"/>
            <family val="2"/>
          </rPr>
          <t>246</t>
        </r>
      </text>
    </comment>
    <comment ref="Q134" authorId="0" shapeId="0" xr:uid="{00000000-0006-0000-0A00-0000B0000000}">
      <text>
        <r>
          <rPr>
            <sz val="8"/>
            <color rgb="FF000000"/>
            <rFont val="Tahoma"/>
            <family val="2"/>
          </rPr>
          <t>100</t>
        </r>
      </text>
    </comment>
    <comment ref="Q135" authorId="0" shapeId="0" xr:uid="{00000000-0006-0000-0A00-0000B1000000}">
      <text>
        <r>
          <rPr>
            <sz val="8"/>
            <color rgb="FF000000"/>
            <rFont val="Tahoma"/>
            <family val="2"/>
          </rPr>
          <t>247</t>
        </r>
      </text>
    </comment>
    <comment ref="Q136" authorId="0" shapeId="0" xr:uid="{00000000-0006-0000-0A00-0000B2000000}">
      <text>
        <r>
          <rPr>
            <sz val="8"/>
            <color rgb="FF000000"/>
            <rFont val="Tahoma"/>
            <family val="2"/>
          </rPr>
          <t>101</t>
        </r>
      </text>
    </comment>
    <comment ref="Q137" authorId="0" shapeId="0" xr:uid="{00000000-0006-0000-0A00-0000B3000000}">
      <text>
        <r>
          <rPr>
            <sz val="8"/>
            <color rgb="FF000000"/>
            <rFont val="Tahoma"/>
            <family val="2"/>
          </rPr>
          <t>102</t>
        </r>
      </text>
    </comment>
    <comment ref="Q138" authorId="0" shapeId="0" xr:uid="{00000000-0006-0000-0A00-0000B4000000}">
      <text>
        <r>
          <rPr>
            <sz val="8"/>
            <color rgb="FF000000"/>
            <rFont val="Tahoma"/>
            <family val="2"/>
          </rPr>
          <t>248</t>
        </r>
      </text>
    </comment>
    <comment ref="Q139" authorId="0" shapeId="0" xr:uid="{00000000-0006-0000-0A00-0000B5000000}">
      <text>
        <r>
          <rPr>
            <sz val="8"/>
            <color rgb="FF000000"/>
            <rFont val="Tahoma"/>
            <family val="2"/>
          </rPr>
          <t>249</t>
        </r>
      </text>
    </comment>
    <comment ref="Q140" authorId="0" shapeId="0" xr:uid="{00000000-0006-0000-0A00-0000B6000000}">
      <text>
        <r>
          <rPr>
            <sz val="8"/>
            <color rgb="FF000000"/>
            <rFont val="Tahoma"/>
            <family val="2"/>
          </rPr>
          <t>103</t>
        </r>
      </text>
    </comment>
    <comment ref="Q141" authorId="0" shapeId="0" xr:uid="{00000000-0006-0000-0A00-0000B7000000}">
      <text>
        <r>
          <rPr>
            <sz val="8"/>
            <color rgb="FF000000"/>
            <rFont val="Tahoma"/>
            <family val="2"/>
          </rPr>
          <t>250</t>
        </r>
      </text>
    </comment>
    <comment ref="Q142" authorId="0" shapeId="0" xr:uid="{00000000-0006-0000-0A00-0000B8000000}">
      <text>
        <r>
          <rPr>
            <sz val="8"/>
            <color rgb="FF000000"/>
            <rFont val="Tahoma"/>
            <family val="2"/>
          </rPr>
          <t>251</t>
        </r>
      </text>
    </comment>
    <comment ref="Q143" authorId="0" shapeId="0" xr:uid="{00000000-0006-0000-0A00-0000B9000000}">
      <text>
        <r>
          <rPr>
            <sz val="8"/>
            <color rgb="FF000000"/>
            <rFont val="Tahoma"/>
            <family val="2"/>
          </rPr>
          <t>252</t>
        </r>
      </text>
    </comment>
    <comment ref="Q144" authorId="0" shapeId="0" xr:uid="{00000000-0006-0000-0A00-0000BA000000}">
      <text>
        <r>
          <rPr>
            <sz val="8"/>
            <color rgb="FF000000"/>
            <rFont val="Tahoma"/>
            <family val="2"/>
          </rPr>
          <t>104</t>
        </r>
      </text>
    </comment>
    <comment ref="Q145" authorId="0" shapeId="0" xr:uid="{00000000-0006-0000-0A00-0000BB000000}">
      <text>
        <r>
          <rPr>
            <sz val="8"/>
            <color rgb="FF000000"/>
            <rFont val="Tahoma"/>
            <family val="2"/>
          </rPr>
          <t>105</t>
        </r>
      </text>
    </comment>
    <comment ref="Q146" authorId="0" shapeId="0" xr:uid="{00000000-0006-0000-0A00-0000BC000000}">
      <text>
        <r>
          <rPr>
            <sz val="8"/>
            <color rgb="FF000000"/>
            <rFont val="Tahoma"/>
            <family val="2"/>
          </rPr>
          <t>106</t>
        </r>
      </text>
    </comment>
    <comment ref="Q147" authorId="0" shapeId="0" xr:uid="{00000000-0006-0000-0A00-0000BD000000}">
      <text>
        <r>
          <rPr>
            <sz val="8"/>
            <color rgb="FF000000"/>
            <rFont val="Tahoma"/>
            <family val="2"/>
          </rPr>
          <t>107</t>
        </r>
      </text>
    </comment>
    <comment ref="Q148" authorId="0" shapeId="0" xr:uid="{00000000-0006-0000-0A00-0000BE000000}">
      <text>
        <r>
          <rPr>
            <sz val="8"/>
            <color rgb="FF000000"/>
            <rFont val="Tahoma"/>
            <family val="2"/>
          </rPr>
          <t>108</t>
        </r>
      </text>
    </comment>
    <comment ref="Q149" authorId="0" shapeId="0" xr:uid="{00000000-0006-0000-0A00-0000BF000000}">
      <text>
        <r>
          <rPr>
            <sz val="8"/>
            <color rgb="FF000000"/>
            <rFont val="Tahoma"/>
            <family val="2"/>
          </rPr>
          <t>109</t>
        </r>
      </text>
    </comment>
    <comment ref="Q150" authorId="0" shapeId="0" xr:uid="{00000000-0006-0000-0A00-0000C0000000}">
      <text>
        <r>
          <rPr>
            <sz val="8"/>
            <color rgb="FF000000"/>
            <rFont val="Tahoma"/>
            <family val="2"/>
          </rPr>
          <t>110</t>
        </r>
      </text>
    </comment>
    <comment ref="Q151" authorId="0" shapeId="0" xr:uid="{00000000-0006-0000-0A00-0000C1000000}">
      <text>
        <r>
          <rPr>
            <sz val="8"/>
            <color rgb="FF000000"/>
            <rFont val="Tahoma"/>
            <family val="2"/>
          </rPr>
          <t>176</t>
        </r>
      </text>
    </comment>
    <comment ref="Q152" authorId="0" shapeId="0" xr:uid="{00000000-0006-0000-0A00-0000C2000000}">
      <text>
        <r>
          <rPr>
            <sz val="8"/>
            <color rgb="FF000000"/>
            <rFont val="Tahoma"/>
            <family val="2"/>
          </rPr>
          <t>111</t>
        </r>
      </text>
    </comment>
    <comment ref="Q153" authorId="0" shapeId="0" xr:uid="{00000000-0006-0000-0A00-0000C3000000}">
      <text>
        <r>
          <rPr>
            <sz val="8"/>
            <color rgb="FF000000"/>
            <rFont val="Tahoma"/>
            <family val="2"/>
          </rPr>
          <t>112</t>
        </r>
      </text>
    </comment>
    <comment ref="Q154" authorId="0" shapeId="0" xr:uid="{00000000-0006-0000-0A00-0000C4000000}">
      <text>
        <r>
          <rPr>
            <sz val="8"/>
            <color rgb="FF000000"/>
            <rFont val="Tahoma"/>
            <family val="2"/>
          </rPr>
          <t>113</t>
        </r>
      </text>
    </comment>
    <comment ref="Q155" authorId="0" shapeId="0" xr:uid="{00000000-0006-0000-0A00-0000C5000000}">
      <text>
        <r>
          <rPr>
            <sz val="8"/>
            <color rgb="FF000000"/>
            <rFont val="Tahoma"/>
            <family val="2"/>
          </rPr>
          <t>114</t>
        </r>
      </text>
    </comment>
    <comment ref="Q156" authorId="0" shapeId="0" xr:uid="{00000000-0006-0000-0A00-0000C6000000}">
      <text>
        <r>
          <rPr>
            <sz val="8"/>
            <color rgb="FF000000"/>
            <rFont val="Tahoma"/>
            <family val="2"/>
          </rPr>
          <t>115</t>
        </r>
      </text>
    </comment>
    <comment ref="Q157" authorId="0" shapeId="0" xr:uid="{00000000-0006-0000-0A00-0000C7000000}">
      <text>
        <r>
          <rPr>
            <sz val="8"/>
            <color rgb="FF000000"/>
            <rFont val="Tahoma"/>
            <family val="2"/>
          </rPr>
          <t>116</t>
        </r>
      </text>
    </comment>
    <comment ref="Q158" authorId="0" shapeId="0" xr:uid="{00000000-0006-0000-0A00-0000C8000000}">
      <text>
        <r>
          <rPr>
            <sz val="8"/>
            <color rgb="FF000000"/>
            <rFont val="Tahoma"/>
            <family val="2"/>
          </rPr>
          <t>117</t>
        </r>
      </text>
    </comment>
    <comment ref="Q159" authorId="0" shapeId="0" xr:uid="{00000000-0006-0000-0A00-0000C9000000}">
      <text>
        <r>
          <rPr>
            <sz val="8"/>
            <color rgb="FF000000"/>
            <rFont val="Tahoma"/>
            <family val="2"/>
          </rPr>
          <t>118</t>
        </r>
      </text>
    </comment>
    <comment ref="Q160" authorId="0" shapeId="0" xr:uid="{00000000-0006-0000-0A00-0000CA000000}">
      <text>
        <r>
          <rPr>
            <sz val="8"/>
            <color rgb="FF000000"/>
            <rFont val="Tahoma"/>
            <family val="2"/>
          </rPr>
          <t>177</t>
        </r>
      </text>
    </comment>
    <comment ref="Q161" authorId="0" shapeId="0" xr:uid="{00000000-0006-0000-0A00-0000CB000000}">
      <text>
        <r>
          <rPr>
            <sz val="8"/>
            <color rgb="FF000000"/>
            <rFont val="Tahoma"/>
            <family val="2"/>
          </rPr>
          <t>119</t>
        </r>
      </text>
    </comment>
    <comment ref="Q162" authorId="0" shapeId="0" xr:uid="{00000000-0006-0000-0A00-0000CC000000}">
      <text>
        <r>
          <rPr>
            <sz val="8"/>
            <color rgb="FF000000"/>
            <rFont val="Tahoma"/>
            <family val="2"/>
          </rPr>
          <t>120</t>
        </r>
      </text>
    </comment>
    <comment ref="Q163" authorId="0" shapeId="0" xr:uid="{00000000-0006-0000-0A00-0000CD000000}">
      <text>
        <r>
          <rPr>
            <sz val="8"/>
            <color rgb="FF000000"/>
            <rFont val="Tahoma"/>
            <family val="2"/>
          </rPr>
          <t>121</t>
        </r>
      </text>
    </comment>
    <comment ref="Q164" authorId="0" shapeId="0" xr:uid="{00000000-0006-0000-0A00-0000CE000000}">
      <text>
        <r>
          <rPr>
            <sz val="8"/>
            <color rgb="FF000000"/>
            <rFont val="Tahoma"/>
            <family val="2"/>
          </rPr>
          <t>122</t>
        </r>
      </text>
    </comment>
    <comment ref="Q165" authorId="0" shapeId="0" xr:uid="{00000000-0006-0000-0A00-0000CF000000}">
      <text>
        <r>
          <rPr>
            <sz val="8"/>
            <color rgb="FF000000"/>
            <rFont val="Tahoma"/>
            <family val="2"/>
          </rPr>
          <t>181</t>
        </r>
      </text>
    </comment>
    <comment ref="Q166" authorId="0" shapeId="0" xr:uid="{00000000-0006-0000-0A00-0000D0000000}">
      <text>
        <r>
          <rPr>
            <sz val="8"/>
            <color rgb="FF000000"/>
            <rFont val="Tahoma"/>
            <family val="2"/>
          </rPr>
          <t>182</t>
        </r>
      </text>
    </comment>
    <comment ref="Q167" authorId="0" shapeId="0" xr:uid="{00000000-0006-0000-0A00-0000D1000000}">
      <text>
        <r>
          <rPr>
            <sz val="8"/>
            <color rgb="FF000000"/>
            <rFont val="Tahoma"/>
            <family val="2"/>
          </rPr>
          <t>123</t>
        </r>
      </text>
    </comment>
    <comment ref="Q168" authorId="0" shapeId="0" xr:uid="{00000000-0006-0000-0A00-0000D2000000}">
      <text>
        <r>
          <rPr>
            <sz val="8"/>
            <color rgb="FF000000"/>
            <rFont val="Tahoma"/>
            <family val="2"/>
          </rPr>
          <t>124</t>
        </r>
      </text>
    </comment>
    <comment ref="Q169" authorId="0" shapeId="0" xr:uid="{00000000-0006-0000-0A00-0000D3000000}">
      <text>
        <r>
          <rPr>
            <sz val="8"/>
            <color rgb="FF000000"/>
            <rFont val="Tahoma"/>
            <family val="2"/>
          </rPr>
          <t>125</t>
        </r>
      </text>
    </comment>
    <comment ref="Q170" authorId="0" shapeId="0" xr:uid="{00000000-0006-0000-0A00-0000D4000000}">
      <text>
        <r>
          <rPr>
            <sz val="8"/>
            <color rgb="FF000000"/>
            <rFont val="Tahoma"/>
            <family val="2"/>
          </rPr>
          <t>126</t>
        </r>
      </text>
    </comment>
    <comment ref="Q171" authorId="0" shapeId="0" xr:uid="{00000000-0006-0000-0A00-0000D5000000}">
      <text>
        <r>
          <rPr>
            <sz val="8"/>
            <color rgb="FF000000"/>
            <rFont val="Tahoma"/>
            <family val="2"/>
          </rPr>
          <t>183</t>
        </r>
      </text>
    </comment>
    <comment ref="Q172" authorId="0" shapeId="0" xr:uid="{00000000-0006-0000-0A00-0000D6000000}">
      <text>
        <r>
          <rPr>
            <sz val="8"/>
            <color rgb="FF000000"/>
            <rFont val="Tahoma"/>
            <family val="2"/>
          </rPr>
          <t>184</t>
        </r>
      </text>
    </comment>
    <comment ref="Q173" authorId="0" shapeId="0" xr:uid="{00000000-0006-0000-0A00-0000D7000000}">
      <text>
        <r>
          <rPr>
            <sz val="8"/>
            <color rgb="FF000000"/>
            <rFont val="Tahoma"/>
            <family val="2"/>
          </rPr>
          <t>185</t>
        </r>
      </text>
    </comment>
    <comment ref="Q174" authorId="0" shapeId="0" xr:uid="{00000000-0006-0000-0A00-0000D8000000}">
      <text>
        <r>
          <rPr>
            <sz val="8"/>
            <color rgb="FF000000"/>
            <rFont val="Tahoma"/>
            <family val="2"/>
          </rPr>
          <t>178</t>
        </r>
      </text>
    </comment>
    <comment ref="Q175" authorId="0" shapeId="0" xr:uid="{00000000-0006-0000-0A00-0000D9000000}">
      <text>
        <r>
          <rPr>
            <sz val="8"/>
            <color rgb="FF000000"/>
            <rFont val="Tahoma"/>
            <family val="2"/>
          </rPr>
          <t>127</t>
        </r>
      </text>
    </comment>
    <comment ref="Q176" authorId="0" shapeId="0" xr:uid="{00000000-0006-0000-0A00-0000DA000000}">
      <text>
        <r>
          <rPr>
            <sz val="8"/>
            <color rgb="FF000000"/>
            <rFont val="Tahoma"/>
            <family val="2"/>
          </rPr>
          <t>186</t>
        </r>
      </text>
    </comment>
    <comment ref="Q177" authorId="0" shapeId="0" xr:uid="{00000000-0006-0000-0A00-0000DB000000}">
      <text>
        <r>
          <rPr>
            <sz val="8"/>
            <color rgb="FF000000"/>
            <rFont val="Tahoma"/>
            <family val="2"/>
          </rPr>
          <t>128</t>
        </r>
      </text>
    </comment>
    <comment ref="Q178" authorId="0" shapeId="0" xr:uid="{00000000-0006-0000-0A00-0000DC000000}">
      <text>
        <r>
          <rPr>
            <sz val="8"/>
            <color rgb="FF000000"/>
            <rFont val="Tahoma"/>
            <family val="2"/>
          </rPr>
          <t>129</t>
        </r>
      </text>
    </comment>
    <comment ref="Q179" authorId="0" shapeId="0" xr:uid="{00000000-0006-0000-0A00-0000DD000000}">
      <text>
        <r>
          <rPr>
            <sz val="8"/>
            <color rgb="FF000000"/>
            <rFont val="Tahoma"/>
            <family val="2"/>
          </rPr>
          <t>196</t>
        </r>
      </text>
    </comment>
    <comment ref="Q180" authorId="0" shapeId="0" xr:uid="{00000000-0006-0000-0A00-0000DE000000}">
      <text>
        <r>
          <rPr>
            <sz val="8"/>
            <color rgb="FF000000"/>
            <rFont val="Tahoma"/>
            <family val="2"/>
          </rPr>
          <t>130</t>
        </r>
      </text>
    </comment>
    <comment ref="Q181" authorId="0" shapeId="0" xr:uid="{00000000-0006-0000-0A00-0000DF000000}">
      <text>
        <r>
          <rPr>
            <sz val="8"/>
            <color rgb="FF000000"/>
            <rFont val="Tahoma"/>
            <family val="2"/>
          </rPr>
          <t>197</t>
        </r>
      </text>
    </comment>
    <comment ref="Q182" authorId="0" shapeId="0" xr:uid="{00000000-0006-0000-0A00-0000E0000000}">
      <text>
        <r>
          <rPr>
            <sz val="8"/>
            <color rgb="FF000000"/>
            <rFont val="Tahoma"/>
            <family val="2"/>
          </rPr>
          <t>131</t>
        </r>
      </text>
    </comment>
    <comment ref="Q183" authorId="0" shapeId="0" xr:uid="{00000000-0006-0000-0A00-0000E1000000}">
      <text>
        <r>
          <rPr>
            <sz val="8"/>
            <color rgb="FF000000"/>
            <rFont val="Tahoma"/>
            <family val="2"/>
          </rPr>
          <t>198</t>
        </r>
      </text>
    </comment>
    <comment ref="Q184" authorId="0" shapeId="0" xr:uid="{00000000-0006-0000-0A00-0000E2000000}">
      <text>
        <r>
          <rPr>
            <sz val="8"/>
            <color rgb="FF000000"/>
            <rFont val="Tahoma"/>
            <family val="2"/>
          </rPr>
          <t>199</t>
        </r>
      </text>
    </comment>
    <comment ref="Q185" authorId="0" shapeId="0" xr:uid="{00000000-0006-0000-0A00-0000E3000000}">
      <text>
        <r>
          <rPr>
            <sz val="8"/>
            <color rgb="FF000000"/>
            <rFont val="Tahoma"/>
            <family val="2"/>
          </rPr>
          <t>132</t>
        </r>
      </text>
    </comment>
    <comment ref="Q186" authorId="0" shapeId="0" xr:uid="{00000000-0006-0000-0A00-0000E4000000}">
      <text>
        <r>
          <rPr>
            <sz val="8"/>
            <color rgb="FF000000"/>
            <rFont val="Tahoma"/>
            <family val="2"/>
          </rPr>
          <t>133</t>
        </r>
      </text>
    </comment>
    <comment ref="Q187" authorId="0" shapeId="0" xr:uid="{00000000-0006-0000-0A00-0000E5000000}">
      <text>
        <r>
          <rPr>
            <sz val="8"/>
            <color rgb="FF000000"/>
            <rFont val="Tahoma"/>
            <family val="2"/>
          </rPr>
          <t>200</t>
        </r>
      </text>
    </comment>
    <comment ref="Q188" authorId="0" shapeId="0" xr:uid="{00000000-0006-0000-0A00-0000E6000000}">
      <text>
        <r>
          <rPr>
            <sz val="8"/>
            <color rgb="FF000000"/>
            <rFont val="Tahoma"/>
            <family val="2"/>
          </rPr>
          <t>134</t>
        </r>
      </text>
    </comment>
    <comment ref="Q189" authorId="0" shapeId="0" xr:uid="{00000000-0006-0000-0A00-0000E7000000}">
      <text>
        <r>
          <rPr>
            <sz val="8"/>
            <color rgb="FF000000"/>
            <rFont val="Tahoma"/>
            <family val="2"/>
          </rPr>
          <t>135</t>
        </r>
      </text>
    </comment>
    <comment ref="Q190" authorId="0" shapeId="0" xr:uid="{00000000-0006-0000-0A00-0000E8000000}">
      <text>
        <r>
          <rPr>
            <sz val="8"/>
            <color rgb="FF000000"/>
            <rFont val="Tahoma"/>
            <family val="2"/>
          </rPr>
          <t>136</t>
        </r>
      </text>
    </comment>
    <comment ref="Q191" authorId="0" shapeId="0" xr:uid="{00000000-0006-0000-0A00-0000E9000000}">
      <text>
        <r>
          <rPr>
            <sz val="8"/>
            <color rgb="FF000000"/>
            <rFont val="Tahoma"/>
            <family val="2"/>
          </rPr>
          <t>201</t>
        </r>
      </text>
    </comment>
    <comment ref="Q192" authorId="0" shapeId="0" xr:uid="{00000000-0006-0000-0A00-0000EA000000}">
      <text>
        <r>
          <rPr>
            <sz val="8"/>
            <color rgb="FF000000"/>
            <rFont val="Tahoma"/>
            <family val="2"/>
          </rPr>
          <t>202</t>
        </r>
      </text>
    </comment>
    <comment ref="Q193" authorId="0" shapeId="0" xr:uid="{00000000-0006-0000-0A00-0000EB000000}">
      <text>
        <r>
          <rPr>
            <sz val="8"/>
            <color rgb="FF000000"/>
            <rFont val="Tahoma"/>
            <family val="2"/>
          </rPr>
          <t>203</t>
        </r>
      </text>
    </comment>
    <comment ref="Q194" authorId="0" shapeId="0" xr:uid="{00000000-0006-0000-0A00-0000EC000000}">
      <text>
        <r>
          <rPr>
            <sz val="8"/>
            <color rgb="FF000000"/>
            <rFont val="Tahoma"/>
            <family val="2"/>
          </rPr>
          <t>137</t>
        </r>
      </text>
    </comment>
    <comment ref="Q195" authorId="0" shapeId="0" xr:uid="{00000000-0006-0000-0A00-0000ED000000}">
      <text>
        <r>
          <rPr>
            <sz val="8"/>
            <color rgb="FF000000"/>
            <rFont val="Tahoma"/>
            <family val="2"/>
          </rPr>
          <t>138</t>
        </r>
      </text>
    </comment>
    <comment ref="Q196" authorId="0" shapeId="0" xr:uid="{00000000-0006-0000-0A00-0000EE000000}">
      <text>
        <r>
          <rPr>
            <sz val="8"/>
            <color rgb="FF000000"/>
            <rFont val="Tahoma"/>
            <family val="2"/>
          </rPr>
          <t>139</t>
        </r>
      </text>
    </comment>
    <comment ref="Q197" authorId="0" shapeId="0" xr:uid="{00000000-0006-0000-0A00-0000EF000000}">
      <text>
        <r>
          <rPr>
            <sz val="8"/>
            <color rgb="FF000000"/>
            <rFont val="Tahoma"/>
            <family val="2"/>
          </rPr>
          <t>204</t>
        </r>
      </text>
    </comment>
    <comment ref="Q198" authorId="0" shapeId="0" xr:uid="{00000000-0006-0000-0A00-0000F0000000}">
      <text>
        <r>
          <rPr>
            <sz val="8"/>
            <color rgb="FF000000"/>
            <rFont val="Tahoma"/>
            <family val="2"/>
          </rPr>
          <t>179</t>
        </r>
      </text>
    </comment>
    <comment ref="Q199" authorId="0" shapeId="0" xr:uid="{00000000-0006-0000-0A00-0000F1000000}">
      <text>
        <r>
          <rPr>
            <sz val="8"/>
            <color rgb="FF000000"/>
            <rFont val="Tahoma"/>
            <family val="2"/>
          </rPr>
          <t>140</t>
        </r>
      </text>
    </comment>
    <comment ref="Q200" authorId="0" shapeId="0" xr:uid="{00000000-0006-0000-0A00-0000F2000000}">
      <text>
        <r>
          <rPr>
            <sz val="8"/>
            <color rgb="FF000000"/>
            <rFont val="Tahoma"/>
            <family val="2"/>
          </rPr>
          <t>205</t>
        </r>
      </text>
    </comment>
    <comment ref="Q201" authorId="0" shapeId="0" xr:uid="{00000000-0006-0000-0A00-0000F3000000}">
      <text>
        <r>
          <rPr>
            <sz val="8"/>
            <color rgb="FF000000"/>
            <rFont val="Tahoma"/>
            <family val="2"/>
          </rPr>
          <t>206</t>
        </r>
      </text>
    </comment>
    <comment ref="Q202" authorId="0" shapeId="0" xr:uid="{00000000-0006-0000-0A00-0000F4000000}">
      <text>
        <r>
          <rPr>
            <sz val="8"/>
            <color rgb="FF000000"/>
            <rFont val="Tahoma"/>
            <family val="2"/>
          </rPr>
          <t>207</t>
        </r>
      </text>
    </comment>
    <comment ref="Q203" authorId="0" shapeId="0" xr:uid="{00000000-0006-0000-0A00-0000F5000000}">
      <text>
        <r>
          <rPr>
            <sz val="8"/>
            <color rgb="FF000000"/>
            <rFont val="Tahoma"/>
            <family val="2"/>
          </rPr>
          <t>208</t>
        </r>
      </text>
    </comment>
    <comment ref="Q204" authorId="0" shapeId="0" xr:uid="{00000000-0006-0000-0A00-0000F6000000}">
      <text>
        <r>
          <rPr>
            <sz val="8"/>
            <color rgb="FF000000"/>
            <rFont val="Tahoma"/>
            <family val="2"/>
          </rPr>
          <t>141</t>
        </r>
      </text>
    </comment>
    <comment ref="Q205" authorId="0" shapeId="0" xr:uid="{00000000-0006-0000-0A00-0000F7000000}">
      <text>
        <r>
          <rPr>
            <sz val="8"/>
            <color rgb="FF000000"/>
            <rFont val="Tahoma"/>
            <family val="2"/>
          </rPr>
          <t>142</t>
        </r>
      </text>
    </comment>
    <comment ref="Q206" authorId="0" shapeId="0" xr:uid="{00000000-0006-0000-0A00-0000F8000000}">
      <text>
        <r>
          <rPr>
            <sz val="8"/>
            <color rgb="FF000000"/>
            <rFont val="Tahoma"/>
            <family val="2"/>
          </rPr>
          <t>143</t>
        </r>
      </text>
    </comment>
    <comment ref="Q207" authorId="0" shapeId="0" xr:uid="{00000000-0006-0000-0A00-0000F9000000}">
      <text>
        <r>
          <rPr>
            <sz val="8"/>
            <color rgb="FF000000"/>
            <rFont val="Tahoma"/>
            <family val="2"/>
          </rPr>
          <t>144</t>
        </r>
      </text>
    </comment>
    <comment ref="Q208" authorId="0" shapeId="0" xr:uid="{00000000-0006-0000-0A00-0000FA000000}">
      <text>
        <r>
          <rPr>
            <sz val="8"/>
            <color rgb="FF000000"/>
            <rFont val="Tahoma"/>
            <family val="2"/>
          </rPr>
          <t>209</t>
        </r>
      </text>
    </comment>
    <comment ref="Q209" authorId="0" shapeId="0" xr:uid="{00000000-0006-0000-0A00-0000FB000000}">
      <text>
        <r>
          <rPr>
            <sz val="8"/>
            <color rgb="FF000000"/>
            <rFont val="Tahoma"/>
            <family val="2"/>
          </rPr>
          <t>145</t>
        </r>
      </text>
    </comment>
    <comment ref="Q210" authorId="0" shapeId="0" xr:uid="{00000000-0006-0000-0A00-0000FC000000}">
      <text>
        <r>
          <rPr>
            <sz val="8"/>
            <color rgb="FF000000"/>
            <rFont val="Tahoma"/>
            <family val="2"/>
          </rPr>
          <t>146</t>
        </r>
      </text>
    </comment>
    <comment ref="Q211" authorId="0" shapeId="0" xr:uid="{00000000-0006-0000-0A00-0000FD000000}">
      <text>
        <r>
          <rPr>
            <sz val="8"/>
            <color rgb="FF000000"/>
            <rFont val="Tahoma"/>
            <family val="2"/>
          </rPr>
          <t>210</t>
        </r>
      </text>
    </comment>
    <comment ref="Q212" authorId="0" shapeId="0" xr:uid="{00000000-0006-0000-0A00-0000FE000000}">
      <text>
        <r>
          <rPr>
            <sz val="8"/>
            <color rgb="FF000000"/>
            <rFont val="Tahoma"/>
            <family val="2"/>
          </rPr>
          <t>147</t>
        </r>
      </text>
    </comment>
    <comment ref="Q213" authorId="0" shapeId="0" xr:uid="{00000000-0006-0000-0A00-0000FF000000}">
      <text>
        <r>
          <rPr>
            <sz val="8"/>
            <color rgb="FF000000"/>
            <rFont val="Tahoma"/>
            <family val="2"/>
          </rPr>
          <t>148</t>
        </r>
      </text>
    </comment>
    <comment ref="Q214" authorId="0" shapeId="0" xr:uid="{00000000-0006-0000-0A00-000000010000}">
      <text>
        <r>
          <rPr>
            <sz val="8"/>
            <color rgb="FF000000"/>
            <rFont val="Tahoma"/>
            <family val="2"/>
          </rPr>
          <t>235</t>
        </r>
      </text>
    </comment>
    <comment ref="Q215" authorId="0" shapeId="0" xr:uid="{00000000-0006-0000-0A00-000001010000}">
      <text>
        <r>
          <rPr>
            <sz val="8"/>
            <color rgb="FF000000"/>
            <rFont val="Tahoma"/>
            <family val="2"/>
          </rPr>
          <t>167</t>
        </r>
      </text>
    </comment>
    <comment ref="Q216" authorId="0" shapeId="0" xr:uid="{00000000-0006-0000-0A00-000002010000}">
      <text>
        <r>
          <rPr>
            <sz val="8"/>
            <color rgb="FF000000"/>
            <rFont val="Tahoma"/>
            <family val="2"/>
          </rPr>
          <t>149</t>
        </r>
      </text>
    </comment>
    <comment ref="Q217" authorId="0" shapeId="0" xr:uid="{00000000-0006-0000-0A00-000003010000}">
      <text>
        <r>
          <rPr>
            <sz val="8"/>
            <color rgb="FF000000"/>
            <rFont val="Tahoma"/>
            <family val="2"/>
          </rPr>
          <t>150</t>
        </r>
      </text>
    </comment>
    <comment ref="Q218" authorId="0" shapeId="0" xr:uid="{00000000-0006-0000-0A00-000004010000}">
      <text>
        <r>
          <rPr>
            <sz val="8"/>
            <color rgb="FF000000"/>
            <rFont val="Tahoma"/>
            <family val="2"/>
          </rPr>
          <t>151</t>
        </r>
      </text>
    </comment>
    <comment ref="Q219" authorId="0" shapeId="0" xr:uid="{00000000-0006-0000-0A00-000005010000}">
      <text>
        <r>
          <rPr>
            <sz val="8"/>
            <color rgb="FF000000"/>
            <rFont val="Tahoma"/>
            <family val="2"/>
          </rPr>
          <t>152</t>
        </r>
      </text>
    </comment>
    <comment ref="Q220" authorId="0" shapeId="0" xr:uid="{00000000-0006-0000-0A00-000006010000}">
      <text>
        <r>
          <rPr>
            <sz val="8"/>
            <color rgb="FF000000"/>
            <rFont val="Tahoma"/>
            <family val="2"/>
          </rPr>
          <t>236</t>
        </r>
      </text>
    </comment>
    <comment ref="Q221" authorId="0" shapeId="0" xr:uid="{00000000-0006-0000-0A00-000007010000}">
      <text>
        <r>
          <rPr>
            <sz val="8"/>
            <color rgb="FF000000"/>
            <rFont val="Tahoma"/>
            <family val="2"/>
          </rPr>
          <t>153</t>
        </r>
      </text>
    </comment>
    <comment ref="Q222" authorId="0" shapeId="0" xr:uid="{00000000-0006-0000-0A00-000008010000}">
      <text>
        <r>
          <rPr>
            <sz val="8"/>
            <color rgb="FF000000"/>
            <rFont val="Tahoma"/>
            <family val="2"/>
          </rPr>
          <t>237</t>
        </r>
      </text>
    </comment>
    <comment ref="Q223" authorId="0" shapeId="0" xr:uid="{00000000-0006-0000-0A00-000009010000}">
      <text>
        <r>
          <rPr>
            <sz val="8"/>
            <color rgb="FF000000"/>
            <rFont val="Tahoma"/>
            <family val="2"/>
          </rPr>
          <t>154</t>
        </r>
      </text>
    </comment>
    <comment ref="Q224" authorId="0" shapeId="0" xr:uid="{00000000-0006-0000-0A00-00000A010000}">
      <text>
        <r>
          <rPr>
            <sz val="8"/>
            <color rgb="FF000000"/>
            <rFont val="Tahoma"/>
            <family val="2"/>
          </rPr>
          <t>155</t>
        </r>
      </text>
    </comment>
    <comment ref="Q225" authorId="0" shapeId="0" xr:uid="{00000000-0006-0000-0A00-00000B010000}">
      <text>
        <r>
          <rPr>
            <sz val="8"/>
            <color rgb="FF000000"/>
            <rFont val="Tahoma"/>
            <family val="2"/>
          </rPr>
          <t>156</t>
        </r>
      </text>
    </comment>
    <comment ref="Q226" authorId="0" shapeId="0" xr:uid="{00000000-0006-0000-0A00-00000C010000}">
      <text>
        <r>
          <rPr>
            <sz val="8"/>
            <color rgb="FF000000"/>
            <rFont val="Tahoma"/>
            <family val="2"/>
          </rPr>
          <t>157</t>
        </r>
      </text>
    </comment>
    <comment ref="Q227" authorId="0" shapeId="0" xr:uid="{00000000-0006-0000-0A00-00000D010000}">
      <text>
        <r>
          <rPr>
            <sz val="8"/>
            <color rgb="FF000000"/>
            <rFont val="Tahoma"/>
            <family val="2"/>
          </rPr>
          <t>158</t>
        </r>
      </text>
    </comment>
    <comment ref="Q228" authorId="0" shapeId="0" xr:uid="{00000000-0006-0000-0A00-00000E010000}">
      <text>
        <r>
          <rPr>
            <sz val="8"/>
            <color rgb="FF000000"/>
            <rFont val="Tahoma"/>
            <family val="2"/>
          </rPr>
          <t>180</t>
        </r>
      </text>
    </comment>
    <comment ref="Q229" authorId="0" shapeId="0" xr:uid="{00000000-0006-0000-0A00-00000F010000}">
      <text>
        <r>
          <rPr>
            <sz val="8"/>
            <color rgb="FF000000"/>
            <rFont val="Tahoma"/>
            <family val="2"/>
          </rPr>
          <t>159</t>
        </r>
      </text>
    </comment>
    <comment ref="Q230" authorId="0" shapeId="0" xr:uid="{00000000-0006-0000-0A00-000010010000}">
      <text>
        <r>
          <rPr>
            <sz val="8"/>
            <color rgb="FF000000"/>
            <rFont val="Tahoma"/>
            <family val="2"/>
          </rPr>
          <t>238</t>
        </r>
      </text>
    </comment>
    <comment ref="Q231" authorId="0" shapeId="0" xr:uid="{00000000-0006-0000-0A00-000011010000}">
      <text>
        <r>
          <rPr>
            <sz val="8"/>
            <color rgb="FF000000"/>
            <rFont val="Tahoma"/>
            <family val="2"/>
          </rPr>
          <t>160</t>
        </r>
      </text>
    </comment>
    <comment ref="Q232" authorId="0" shapeId="0" xr:uid="{00000000-0006-0000-0A00-000012010000}">
      <text>
        <r>
          <rPr>
            <sz val="8"/>
            <color rgb="FF000000"/>
            <rFont val="Tahoma"/>
            <family val="2"/>
          </rPr>
          <t>161</t>
        </r>
      </text>
    </comment>
    <comment ref="Q233" authorId="0" shapeId="0" xr:uid="{00000000-0006-0000-0A00-000013010000}">
      <text>
        <r>
          <rPr>
            <sz val="8"/>
            <color rgb="FF000000"/>
            <rFont val="Tahoma"/>
            <family val="2"/>
          </rPr>
          <t>162</t>
        </r>
      </text>
    </comment>
    <comment ref="Q234" authorId="0" shapeId="0" xr:uid="{00000000-0006-0000-0A00-000014010000}">
      <text>
        <r>
          <rPr>
            <sz val="8"/>
            <color rgb="FF000000"/>
            <rFont val="Tahoma"/>
            <family val="2"/>
          </rPr>
          <t>163</t>
        </r>
      </text>
    </comment>
    <comment ref="Q235" authorId="0" shapeId="0" xr:uid="{00000000-0006-0000-0A00-000015010000}">
      <text>
        <r>
          <rPr>
            <sz val="8"/>
            <color rgb="FF000000"/>
            <rFont val="Tahoma"/>
            <family val="2"/>
          </rPr>
          <t>239</t>
        </r>
      </text>
    </comment>
    <comment ref="Q236" authorId="0" shapeId="0" xr:uid="{00000000-0006-0000-0A00-000016010000}">
      <text>
        <r>
          <rPr>
            <sz val="8"/>
            <color rgb="FF000000"/>
            <rFont val="Tahoma"/>
            <family val="2"/>
          </rPr>
          <t>240</t>
        </r>
      </text>
    </comment>
    <comment ref="Q237" authorId="0" shapeId="0" xr:uid="{00000000-0006-0000-0A00-000017010000}">
      <text>
        <r>
          <rPr>
            <sz val="8"/>
            <color rgb="FF000000"/>
            <rFont val="Tahoma"/>
            <family val="2"/>
          </rPr>
          <t>164</t>
        </r>
      </text>
    </comment>
    <comment ref="Q238" authorId="0" shapeId="0" xr:uid="{00000000-0006-0000-0A00-000018010000}">
      <text>
        <r>
          <rPr>
            <sz val="8"/>
            <color rgb="FF000000"/>
            <rFont val="Tahoma"/>
            <family val="2"/>
          </rPr>
          <t>165</t>
        </r>
      </text>
    </comment>
    <comment ref="Q239" authorId="0" shapeId="0" xr:uid="{00000000-0006-0000-0A00-000019010000}">
      <text>
        <r>
          <rPr>
            <sz val="8"/>
            <color rgb="FF000000"/>
            <rFont val="Tahoma"/>
            <family val="2"/>
          </rPr>
          <t>166</t>
        </r>
      </text>
    </comment>
    <comment ref="Q240" authorId="0" shapeId="0" xr:uid="{00000000-0006-0000-0A00-00001A010000}">
      <text>
        <r>
          <rPr>
            <sz val="8"/>
            <color rgb="FF000000"/>
            <rFont val="Tahoma"/>
            <family val="2"/>
          </rPr>
          <t>241</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QAHHA7</author>
  </authors>
  <commentList>
    <comment ref="Z2" authorId="0" shapeId="0" xr:uid="{00000000-0006-0000-0E00-000001000000}">
      <text>
        <r>
          <rPr>
            <sz val="8"/>
            <color rgb="FF000000"/>
            <rFont val="Tahoma"/>
            <family val="2"/>
          </rPr>
          <t>1</t>
        </r>
      </text>
    </comment>
    <comment ref="AA2" authorId="0" shapeId="0" xr:uid="{00000000-0006-0000-0E00-000002000000}">
      <text>
        <r>
          <rPr>
            <sz val="8"/>
            <color rgb="FF000000"/>
            <rFont val="Tahoma"/>
            <family val="2"/>
          </rPr>
          <t>22</t>
        </r>
      </text>
    </comment>
    <comment ref="Z3" authorId="0" shapeId="0" xr:uid="{00000000-0006-0000-0E00-000003000000}">
      <text>
        <r>
          <rPr>
            <sz val="8"/>
            <color rgb="FF000000"/>
            <rFont val="Tahoma"/>
            <family val="2"/>
          </rPr>
          <t>2</t>
        </r>
      </text>
    </comment>
    <comment ref="AA3" authorId="0" shapeId="0" xr:uid="{00000000-0006-0000-0E00-000004000000}">
      <text>
        <r>
          <rPr>
            <sz val="8"/>
            <color rgb="FF000000"/>
            <rFont val="Tahoma"/>
            <family val="2"/>
          </rPr>
          <t>26</t>
        </r>
      </text>
    </comment>
    <comment ref="Z4" authorId="0" shapeId="0" xr:uid="{00000000-0006-0000-0E00-000005000000}">
      <text>
        <r>
          <rPr>
            <sz val="8"/>
            <color rgb="FF000000"/>
            <rFont val="Tahoma"/>
            <family val="2"/>
          </rPr>
          <t>3</t>
        </r>
      </text>
    </comment>
    <comment ref="AA4" authorId="0" shapeId="0" xr:uid="{00000000-0006-0000-0E00-000006000000}">
      <text>
        <r>
          <rPr>
            <sz val="8"/>
            <color rgb="FF000000"/>
            <rFont val="Tahoma"/>
            <family val="2"/>
          </rPr>
          <t>15</t>
        </r>
      </text>
    </comment>
    <comment ref="Z5" authorId="0" shapeId="0" xr:uid="{00000000-0006-0000-0E00-000007000000}">
      <text>
        <r>
          <rPr>
            <sz val="8"/>
            <color rgb="FF000000"/>
            <rFont val="Tahoma"/>
            <family val="2"/>
          </rPr>
          <t>4</t>
        </r>
      </text>
    </comment>
    <comment ref="AA5" authorId="0" shapeId="0" xr:uid="{00000000-0006-0000-0E00-000008000000}">
      <text>
        <r>
          <rPr>
            <sz val="8"/>
            <color rgb="FF000000"/>
            <rFont val="Tahoma"/>
            <family val="2"/>
          </rPr>
          <t>23</t>
        </r>
      </text>
    </comment>
    <comment ref="Z6" authorId="0" shapeId="0" xr:uid="{00000000-0006-0000-0E00-000009000000}">
      <text>
        <r>
          <rPr>
            <sz val="8"/>
            <color rgb="FF000000"/>
            <rFont val="Tahoma"/>
            <family val="2"/>
          </rPr>
          <t>5</t>
        </r>
      </text>
    </comment>
    <comment ref="AA6" authorId="0" shapeId="0" xr:uid="{00000000-0006-0000-0E00-00000A000000}">
      <text>
        <r>
          <rPr>
            <sz val="8"/>
            <color rgb="FF000000"/>
            <rFont val="Tahoma"/>
            <family val="2"/>
          </rPr>
          <t>13</t>
        </r>
      </text>
    </comment>
    <comment ref="Z7" authorId="0" shapeId="0" xr:uid="{00000000-0006-0000-0E00-00000B000000}">
      <text>
        <r>
          <rPr>
            <sz val="8"/>
            <color rgb="FF000000"/>
            <rFont val="Tahoma"/>
            <family val="2"/>
          </rPr>
          <t>6</t>
        </r>
      </text>
    </comment>
    <comment ref="AA7" authorId="0" shapeId="0" xr:uid="{00000000-0006-0000-0E00-00000C000000}">
      <text>
        <r>
          <rPr>
            <sz val="8"/>
            <color rgb="FF000000"/>
            <rFont val="Tahoma"/>
            <family val="2"/>
          </rPr>
          <t>18</t>
        </r>
      </text>
    </comment>
    <comment ref="Z8" authorId="0" shapeId="0" xr:uid="{00000000-0006-0000-0E00-00000D000000}">
      <text>
        <r>
          <rPr>
            <sz val="8"/>
            <color rgb="FF000000"/>
            <rFont val="Tahoma"/>
            <family val="2"/>
          </rPr>
          <t>7</t>
        </r>
      </text>
    </comment>
    <comment ref="AA8" authorId="0" shapeId="0" xr:uid="{00000000-0006-0000-0E00-00000E000000}">
      <text>
        <r>
          <rPr>
            <sz val="8"/>
            <color rgb="FF000000"/>
            <rFont val="Tahoma"/>
            <family val="2"/>
          </rPr>
          <t>19</t>
        </r>
      </text>
    </comment>
    <comment ref="Z9" authorId="0" shapeId="0" xr:uid="{00000000-0006-0000-0E00-00000F000000}">
      <text>
        <r>
          <rPr>
            <sz val="8"/>
            <color rgb="FF000000"/>
            <rFont val="Tahoma"/>
            <family val="2"/>
          </rPr>
          <t>8</t>
        </r>
      </text>
    </comment>
    <comment ref="AA9" authorId="0" shapeId="0" xr:uid="{00000000-0006-0000-0E00-000010000000}">
      <text>
        <r>
          <rPr>
            <sz val="8"/>
            <color rgb="FF000000"/>
            <rFont val="Tahoma"/>
            <family val="2"/>
          </rPr>
          <t>190</t>
        </r>
      </text>
    </comment>
    <comment ref="Z10" authorId="0" shapeId="0" xr:uid="{00000000-0006-0000-0E00-000011000000}">
      <text>
        <r>
          <rPr>
            <sz val="8"/>
            <color rgb="FF000000"/>
            <rFont val="Tahoma"/>
            <family val="2"/>
          </rPr>
          <t>9</t>
        </r>
      </text>
    </comment>
    <comment ref="AA10" authorId="0" shapeId="0" xr:uid="{00000000-0006-0000-0E00-000012000000}">
      <text>
        <r>
          <rPr>
            <sz val="8"/>
            <color rgb="FF000000"/>
            <rFont val="Tahoma"/>
            <family val="2"/>
          </rPr>
          <t>31</t>
        </r>
      </text>
    </comment>
    <comment ref="Z11" authorId="0" shapeId="0" xr:uid="{00000000-0006-0000-0E00-000013000000}">
      <text>
        <r>
          <rPr>
            <sz val="8"/>
            <color rgb="FF000000"/>
            <rFont val="Tahoma"/>
            <family val="2"/>
          </rPr>
          <t>175</t>
        </r>
      </text>
    </comment>
    <comment ref="AA11" authorId="0" shapeId="0" xr:uid="{00000000-0006-0000-0E00-000014000000}">
      <text>
        <r>
          <rPr>
            <sz val="8"/>
            <color rgb="FF000000"/>
            <rFont val="Tahoma"/>
            <family val="2"/>
          </rPr>
          <t>29</t>
        </r>
      </text>
    </comment>
    <comment ref="Z12" authorId="0" shapeId="0" xr:uid="{00000000-0006-0000-0E00-000015000000}">
      <text>
        <r>
          <rPr>
            <sz val="8"/>
            <color rgb="FF000000"/>
            <rFont val="Tahoma"/>
            <family val="2"/>
          </rPr>
          <t>10</t>
        </r>
      </text>
    </comment>
    <comment ref="AA12" authorId="0" shapeId="0" xr:uid="{00000000-0006-0000-0E00-000016000000}">
      <text>
        <r>
          <rPr>
            <sz val="8"/>
            <color rgb="FF000000"/>
            <rFont val="Tahoma"/>
            <family val="2"/>
          </rPr>
          <t>24</t>
        </r>
      </text>
    </comment>
    <comment ref="Z13" authorId="0" shapeId="0" xr:uid="{00000000-0006-0000-0E00-000017000000}">
      <text>
        <r>
          <rPr>
            <sz val="8"/>
            <color rgb="FF000000"/>
            <rFont val="Tahoma"/>
            <family val="2"/>
          </rPr>
          <t>11</t>
        </r>
      </text>
    </comment>
    <comment ref="AA13" authorId="0" shapeId="0" xr:uid="{00000000-0006-0000-0E00-000018000000}">
      <text>
        <r>
          <rPr>
            <sz val="8"/>
            <color rgb="FF000000"/>
            <rFont val="Tahoma"/>
            <family val="2"/>
          </rPr>
          <t>28</t>
        </r>
      </text>
    </comment>
    <comment ref="Z14" authorId="0" shapeId="0" xr:uid="{00000000-0006-0000-0E00-000019000000}">
      <text>
        <r>
          <rPr>
            <sz val="8"/>
            <color rgb="FF000000"/>
            <rFont val="Tahoma"/>
            <family val="2"/>
          </rPr>
          <t>12</t>
        </r>
      </text>
    </comment>
    <comment ref="AA14" authorId="0" shapeId="0" xr:uid="{00000000-0006-0000-0E00-00001A000000}">
      <text>
        <r>
          <rPr>
            <sz val="8"/>
            <color rgb="FF000000"/>
            <rFont val="Tahoma"/>
            <family val="2"/>
          </rPr>
          <t>191</t>
        </r>
      </text>
    </comment>
    <comment ref="AA15" authorId="0" shapeId="0" xr:uid="{00000000-0006-0000-0E00-00001B000000}">
      <text>
        <r>
          <rPr>
            <sz val="8"/>
            <color rgb="FF000000"/>
            <rFont val="Tahoma"/>
            <family val="2"/>
          </rPr>
          <t>20</t>
        </r>
      </text>
    </comment>
    <comment ref="AA16" authorId="0" shapeId="0" xr:uid="{00000000-0006-0000-0E00-00001C000000}">
      <text>
        <r>
          <rPr>
            <sz val="8"/>
            <color rgb="FF000000"/>
            <rFont val="Tahoma"/>
            <family val="2"/>
          </rPr>
          <t>177</t>
        </r>
      </text>
    </comment>
    <comment ref="AA17" authorId="0" shapeId="0" xr:uid="{00000000-0006-0000-0E00-00001D000000}">
      <text>
        <r>
          <rPr>
            <sz val="8"/>
            <color rgb="FF000000"/>
            <rFont val="Tahoma"/>
            <family val="2"/>
          </rPr>
          <t>30</t>
        </r>
      </text>
    </comment>
    <comment ref="AA18" authorId="0" shapeId="0" xr:uid="{00000000-0006-0000-0E00-00001E000000}">
      <text>
        <r>
          <rPr>
            <sz val="8"/>
            <color rgb="FF000000"/>
            <rFont val="Tahoma"/>
            <family val="2"/>
          </rPr>
          <t>21</t>
        </r>
      </text>
    </comment>
    <comment ref="AA19" authorId="0" shapeId="0" xr:uid="{00000000-0006-0000-0E00-00001F000000}">
      <text>
        <r>
          <rPr>
            <sz val="8"/>
            <color rgb="FF000000"/>
            <rFont val="Tahoma"/>
            <family val="2"/>
          </rPr>
          <t>14</t>
        </r>
      </text>
    </comment>
    <comment ref="AA20" authorId="0" shapeId="0" xr:uid="{00000000-0006-0000-0E00-000020000000}">
      <text>
        <r>
          <rPr>
            <sz val="8"/>
            <color rgb="FF000000"/>
            <rFont val="Tahoma"/>
            <family val="2"/>
          </rPr>
          <t>17</t>
        </r>
      </text>
    </comment>
    <comment ref="AA21" authorId="0" shapeId="0" xr:uid="{00000000-0006-0000-0E00-000021000000}">
      <text>
        <r>
          <rPr>
            <sz val="8"/>
            <color rgb="FF000000"/>
            <rFont val="Tahoma"/>
            <family val="2"/>
          </rPr>
          <t>25</t>
        </r>
      </text>
    </comment>
    <comment ref="AA22" authorId="0" shapeId="0" xr:uid="{00000000-0006-0000-0E00-000022000000}">
      <text>
        <r>
          <rPr>
            <sz val="8"/>
            <color rgb="FF000000"/>
            <rFont val="Tahoma"/>
            <family val="2"/>
          </rPr>
          <t>27</t>
        </r>
      </text>
    </comment>
    <comment ref="AA23" authorId="0" shapeId="0" xr:uid="{00000000-0006-0000-0E00-000023000000}">
      <text>
        <r>
          <rPr>
            <sz val="8"/>
            <color rgb="FF000000"/>
            <rFont val="Tahoma"/>
            <family val="2"/>
          </rPr>
          <t>16</t>
        </r>
      </text>
    </comment>
    <comment ref="AA24" authorId="0" shapeId="0" xr:uid="{00000000-0006-0000-0E00-000024000000}">
      <text>
        <r>
          <rPr>
            <sz val="8"/>
            <color rgb="FF000000"/>
            <rFont val="Tahoma"/>
            <family val="2"/>
          </rPr>
          <t>42</t>
        </r>
      </text>
    </comment>
    <comment ref="AA25" authorId="0" shapeId="0" xr:uid="{00000000-0006-0000-0E00-000025000000}">
      <text>
        <r>
          <rPr>
            <sz val="8"/>
            <color rgb="FF000000"/>
            <rFont val="Tahoma"/>
            <family val="2"/>
          </rPr>
          <t>39</t>
        </r>
      </text>
    </comment>
    <comment ref="AA26" authorId="0" shapeId="0" xr:uid="{00000000-0006-0000-0E00-000026000000}">
      <text>
        <r>
          <rPr>
            <sz val="8"/>
            <color rgb="FF000000"/>
            <rFont val="Tahoma"/>
            <family val="2"/>
          </rPr>
          <t>41</t>
        </r>
      </text>
    </comment>
    <comment ref="AA27" authorId="0" shapeId="0" xr:uid="{00000000-0006-0000-0E00-000027000000}">
      <text>
        <r>
          <rPr>
            <sz val="8"/>
            <color rgb="FF000000"/>
            <rFont val="Tahoma"/>
            <family val="2"/>
          </rPr>
          <t>32</t>
        </r>
      </text>
    </comment>
    <comment ref="AA28" authorId="0" shapeId="0" xr:uid="{00000000-0006-0000-0E00-000028000000}">
      <text>
        <r>
          <rPr>
            <sz val="8"/>
            <color rgb="FF000000"/>
            <rFont val="Tahoma"/>
            <family val="2"/>
          </rPr>
          <t>33</t>
        </r>
      </text>
    </comment>
    <comment ref="AA29" authorId="0" shapeId="0" xr:uid="{00000000-0006-0000-0E00-000029000000}">
      <text>
        <r>
          <rPr>
            <sz val="8"/>
            <color rgb="FF000000"/>
            <rFont val="Tahoma"/>
            <family val="2"/>
          </rPr>
          <t>40</t>
        </r>
      </text>
    </comment>
    <comment ref="AA30" authorId="0" shapeId="0" xr:uid="{00000000-0006-0000-0E00-00002A000000}">
      <text>
        <r>
          <rPr>
            <sz val="8"/>
            <color rgb="FF000000"/>
            <rFont val="Tahoma"/>
            <family val="2"/>
          </rPr>
          <t>192</t>
        </r>
      </text>
    </comment>
    <comment ref="AA31" authorId="0" shapeId="0" xr:uid="{00000000-0006-0000-0E00-00002B000000}">
      <text>
        <r>
          <rPr>
            <sz val="8"/>
            <color rgb="FF000000"/>
            <rFont val="Tahoma"/>
            <family val="2"/>
          </rPr>
          <t>34</t>
        </r>
      </text>
    </comment>
    <comment ref="AA32" authorId="0" shapeId="0" xr:uid="{00000000-0006-0000-0E00-00002C000000}">
      <text>
        <r>
          <rPr>
            <sz val="8"/>
            <color rgb="FF000000"/>
            <rFont val="Tahoma"/>
            <family val="2"/>
          </rPr>
          <t>35</t>
        </r>
      </text>
    </comment>
    <comment ref="AA33" authorId="0" shapeId="0" xr:uid="{00000000-0006-0000-0E00-00002D000000}">
      <text>
        <r>
          <rPr>
            <sz val="8"/>
            <color rgb="FF000000"/>
            <rFont val="Tahoma"/>
            <family val="2"/>
          </rPr>
          <t>178</t>
        </r>
      </text>
    </comment>
    <comment ref="AA34" authorId="0" shapeId="0" xr:uid="{00000000-0006-0000-0E00-00002E000000}">
      <text>
        <r>
          <rPr>
            <sz val="8"/>
            <color rgb="FF000000"/>
            <rFont val="Tahoma"/>
            <family val="2"/>
          </rPr>
          <t>38</t>
        </r>
      </text>
    </comment>
    <comment ref="AA35" authorId="0" shapeId="0" xr:uid="{00000000-0006-0000-0E00-00002F000000}">
      <text>
        <r>
          <rPr>
            <sz val="8"/>
            <color rgb="FF000000"/>
            <rFont val="Tahoma"/>
            <family val="2"/>
          </rPr>
          <t>43</t>
        </r>
      </text>
    </comment>
    <comment ref="AA36" authorId="0" shapeId="0" xr:uid="{00000000-0006-0000-0E00-000030000000}">
      <text>
        <r>
          <rPr>
            <sz val="8"/>
            <color rgb="FF000000"/>
            <rFont val="Tahoma"/>
            <family val="2"/>
          </rPr>
          <t>36</t>
        </r>
      </text>
    </comment>
    <comment ref="AA37" authorId="0" shapeId="0" xr:uid="{00000000-0006-0000-0E00-000031000000}">
      <text>
        <r>
          <rPr>
            <sz val="8"/>
            <color rgb="FF000000"/>
            <rFont val="Tahoma"/>
            <family val="2"/>
          </rPr>
          <t>37</t>
        </r>
      </text>
    </comment>
    <comment ref="AA38" authorId="0" shapeId="0" xr:uid="{00000000-0006-0000-0E00-000032000000}">
      <text>
        <r>
          <rPr>
            <sz val="8"/>
            <color rgb="FF000000"/>
            <rFont val="Tahoma"/>
            <family val="2"/>
          </rPr>
          <t>55</t>
        </r>
      </text>
    </comment>
    <comment ref="AA39" authorId="0" shapeId="0" xr:uid="{00000000-0006-0000-0E00-000033000000}">
      <text>
        <r>
          <rPr>
            <sz val="8"/>
            <color rgb="FF000000"/>
            <rFont val="Tahoma"/>
            <family val="2"/>
          </rPr>
          <t>45</t>
        </r>
      </text>
    </comment>
    <comment ref="AA40" authorId="0" shapeId="0" xr:uid="{00000000-0006-0000-0E00-000034000000}">
      <text>
        <r>
          <rPr>
            <sz val="8"/>
            <color rgb="FF000000"/>
            <rFont val="Tahoma"/>
            <family val="2"/>
          </rPr>
          <t>44</t>
        </r>
      </text>
    </comment>
    <comment ref="AA41" authorId="0" shapeId="0" xr:uid="{00000000-0006-0000-0E00-000035000000}">
      <text>
        <r>
          <rPr>
            <sz val="8"/>
            <color rgb="FF000000"/>
            <rFont val="Tahoma"/>
            <family val="2"/>
          </rPr>
          <t>61</t>
        </r>
      </text>
    </comment>
    <comment ref="AA42" authorId="0" shapeId="0" xr:uid="{00000000-0006-0000-0E00-000036000000}">
      <text>
        <r>
          <rPr>
            <sz val="8"/>
            <color rgb="FF000000"/>
            <rFont val="Tahoma"/>
            <family val="2"/>
          </rPr>
          <t>52</t>
        </r>
      </text>
    </comment>
    <comment ref="AA43" authorId="0" shapeId="0" xr:uid="{00000000-0006-0000-0E00-000037000000}">
      <text>
        <r>
          <rPr>
            <sz val="8"/>
            <color rgb="FF000000"/>
            <rFont val="Tahoma"/>
            <family val="2"/>
          </rPr>
          <t>60</t>
        </r>
      </text>
    </comment>
    <comment ref="AA44" authorId="0" shapeId="0" xr:uid="{00000000-0006-0000-0E00-000038000000}">
      <text>
        <r>
          <rPr>
            <sz val="8"/>
            <color rgb="FF000000"/>
            <rFont val="Tahoma"/>
            <family val="2"/>
          </rPr>
          <t>46</t>
        </r>
      </text>
    </comment>
    <comment ref="AA45" authorId="0" shapeId="0" xr:uid="{00000000-0006-0000-0E00-000039000000}">
      <text>
        <r>
          <rPr>
            <sz val="8"/>
            <color rgb="FF000000"/>
            <rFont val="Tahoma"/>
            <family val="2"/>
          </rPr>
          <t>57</t>
        </r>
      </text>
    </comment>
    <comment ref="AA46" authorId="0" shapeId="0" xr:uid="{00000000-0006-0000-0E00-00003A000000}">
      <text>
        <r>
          <rPr>
            <sz val="8"/>
            <color rgb="FF000000"/>
            <rFont val="Tahoma"/>
            <family val="2"/>
          </rPr>
          <t>56</t>
        </r>
      </text>
    </comment>
    <comment ref="AA47" authorId="0" shapeId="0" xr:uid="{00000000-0006-0000-0E00-00003B000000}">
      <text>
        <r>
          <rPr>
            <sz val="8"/>
            <color rgb="FF000000"/>
            <rFont val="Tahoma"/>
            <family val="2"/>
          </rPr>
          <t>58</t>
        </r>
      </text>
    </comment>
    <comment ref="AA48" authorId="0" shapeId="0" xr:uid="{00000000-0006-0000-0E00-00003C000000}">
      <text>
        <r>
          <rPr>
            <sz val="8"/>
            <color rgb="FF000000"/>
            <rFont val="Tahoma"/>
            <family val="2"/>
          </rPr>
          <t>193</t>
        </r>
      </text>
    </comment>
    <comment ref="AA49" authorId="0" shapeId="0" xr:uid="{00000000-0006-0000-0E00-00003D000000}">
      <text>
        <r>
          <rPr>
            <sz val="8"/>
            <color rgb="FF000000"/>
            <rFont val="Tahoma"/>
            <family val="2"/>
          </rPr>
          <t>194</t>
        </r>
      </text>
    </comment>
    <comment ref="AA50" authorId="0" shapeId="0" xr:uid="{00000000-0006-0000-0E00-00003E000000}">
      <text>
        <r>
          <rPr>
            <sz val="8"/>
            <color rgb="FF000000"/>
            <rFont val="Tahoma"/>
            <family val="2"/>
          </rPr>
          <t>59</t>
        </r>
      </text>
    </comment>
    <comment ref="AA51" authorId="0" shapeId="0" xr:uid="{00000000-0006-0000-0E00-00003F000000}">
      <text>
        <r>
          <rPr>
            <sz val="8"/>
            <color rgb="FF000000"/>
            <rFont val="Tahoma"/>
            <family val="2"/>
          </rPr>
          <t>179</t>
        </r>
      </text>
    </comment>
    <comment ref="AA52" authorId="0" shapeId="0" xr:uid="{00000000-0006-0000-0E00-000040000000}">
      <text>
        <r>
          <rPr>
            <sz val="8"/>
            <color rgb="FF000000"/>
            <rFont val="Tahoma"/>
            <family val="2"/>
          </rPr>
          <t>50</t>
        </r>
      </text>
    </comment>
    <comment ref="AA53" authorId="0" shapeId="0" xr:uid="{00000000-0006-0000-0E00-000041000000}">
      <text>
        <r>
          <rPr>
            <sz val="8"/>
            <color rgb="FF000000"/>
            <rFont val="Tahoma"/>
            <family val="2"/>
          </rPr>
          <t>53</t>
        </r>
      </text>
    </comment>
    <comment ref="AA54" authorId="0" shapeId="0" xr:uid="{00000000-0006-0000-0E00-000042000000}">
      <text>
        <r>
          <rPr>
            <sz val="8"/>
            <color rgb="FF000000"/>
            <rFont val="Tahoma"/>
            <family val="2"/>
          </rPr>
          <t>47</t>
        </r>
      </text>
    </comment>
    <comment ref="AA55" authorId="0" shapeId="0" xr:uid="{00000000-0006-0000-0E00-000043000000}">
      <text>
        <r>
          <rPr>
            <sz val="8"/>
            <color rgb="FF000000"/>
            <rFont val="Tahoma"/>
            <family val="2"/>
          </rPr>
          <t>195</t>
        </r>
      </text>
    </comment>
    <comment ref="AA56" authorId="0" shapeId="0" xr:uid="{00000000-0006-0000-0E00-000044000000}">
      <text>
        <r>
          <rPr>
            <sz val="8"/>
            <color rgb="FF000000"/>
            <rFont val="Tahoma"/>
            <family val="2"/>
          </rPr>
          <t>48</t>
        </r>
      </text>
    </comment>
    <comment ref="AA57" authorId="0" shapeId="0" xr:uid="{00000000-0006-0000-0E00-000045000000}">
      <text>
        <r>
          <rPr>
            <sz val="8"/>
            <color rgb="FF000000"/>
            <rFont val="Tahoma"/>
            <family val="2"/>
          </rPr>
          <t>49</t>
        </r>
      </text>
    </comment>
    <comment ref="AA58" authorId="0" shapeId="0" xr:uid="{00000000-0006-0000-0E00-000046000000}">
      <text>
        <r>
          <rPr>
            <sz val="8"/>
            <color rgb="FF000000"/>
            <rFont val="Tahoma"/>
            <family val="2"/>
          </rPr>
          <t>51</t>
        </r>
      </text>
    </comment>
    <comment ref="AA59" authorId="0" shapeId="0" xr:uid="{00000000-0006-0000-0E00-000047000000}">
      <text>
        <r>
          <rPr>
            <sz val="8"/>
            <color rgb="FF000000"/>
            <rFont val="Tahoma"/>
            <family val="2"/>
          </rPr>
          <t>54</t>
        </r>
      </text>
    </comment>
    <comment ref="AA60" authorId="0" shapeId="0" xr:uid="{00000000-0006-0000-0E00-000048000000}">
      <text>
        <r>
          <rPr>
            <sz val="8"/>
            <color rgb="FF000000"/>
            <rFont val="Tahoma"/>
            <family val="2"/>
          </rPr>
          <t>62</t>
        </r>
      </text>
    </comment>
    <comment ref="AA61" authorId="0" shapeId="0" xr:uid="{00000000-0006-0000-0E00-000049000000}">
      <text>
        <r>
          <rPr>
            <sz val="8"/>
            <color rgb="FF000000"/>
            <rFont val="Tahoma"/>
            <family val="2"/>
          </rPr>
          <t>65</t>
        </r>
      </text>
    </comment>
    <comment ref="AA62" authorId="0" shapeId="0" xr:uid="{00000000-0006-0000-0E00-00004A000000}">
      <text>
        <r>
          <rPr>
            <sz val="8"/>
            <color rgb="FF000000"/>
            <rFont val="Tahoma"/>
            <family val="2"/>
          </rPr>
          <t>66</t>
        </r>
      </text>
    </comment>
    <comment ref="AA63" authorId="0" shapeId="0" xr:uid="{00000000-0006-0000-0E00-00004B000000}">
      <text>
        <r>
          <rPr>
            <sz val="8"/>
            <color rgb="FF000000"/>
            <rFont val="Tahoma"/>
            <family val="2"/>
          </rPr>
          <t>67</t>
        </r>
      </text>
    </comment>
    <comment ref="AA64" authorId="0" shapeId="0" xr:uid="{00000000-0006-0000-0E00-00004C000000}">
      <text>
        <r>
          <rPr>
            <sz val="8"/>
            <color rgb="FF000000"/>
            <rFont val="Tahoma"/>
            <family val="2"/>
          </rPr>
          <t>180</t>
        </r>
      </text>
    </comment>
    <comment ref="AA65" authorId="0" shapeId="0" xr:uid="{00000000-0006-0000-0E00-00004D000000}">
      <text>
        <r>
          <rPr>
            <sz val="8"/>
            <color rgb="FF000000"/>
            <rFont val="Tahoma"/>
            <family val="2"/>
          </rPr>
          <t>64</t>
        </r>
      </text>
    </comment>
    <comment ref="AA66" authorId="0" shapeId="0" xr:uid="{00000000-0006-0000-0E00-00004E000000}">
      <text>
        <r>
          <rPr>
            <sz val="8"/>
            <color rgb="FF000000"/>
            <rFont val="Tahoma"/>
            <family val="2"/>
          </rPr>
          <t>63</t>
        </r>
      </text>
    </comment>
    <comment ref="AA67" authorId="0" shapeId="0" xr:uid="{00000000-0006-0000-0E00-00004F000000}">
      <text>
        <r>
          <rPr>
            <sz val="8"/>
            <color rgb="FF000000"/>
            <rFont val="Tahoma"/>
            <family val="2"/>
          </rPr>
          <t>68</t>
        </r>
      </text>
    </comment>
    <comment ref="AA68" authorId="0" shapeId="0" xr:uid="{00000000-0006-0000-0E00-000050000000}">
      <text>
        <r>
          <rPr>
            <sz val="8"/>
            <color rgb="FF000000"/>
            <rFont val="Tahoma"/>
            <family val="2"/>
          </rPr>
          <t>196</t>
        </r>
      </text>
    </comment>
    <comment ref="AA69" authorId="0" shapeId="0" xr:uid="{00000000-0006-0000-0E00-000051000000}">
      <text>
        <r>
          <rPr>
            <sz val="8"/>
            <color rgb="FF000000"/>
            <rFont val="Tahoma"/>
            <family val="2"/>
          </rPr>
          <t>71</t>
        </r>
      </text>
    </comment>
    <comment ref="AA70" authorId="0" shapeId="0" xr:uid="{00000000-0006-0000-0E00-000052000000}">
      <text>
        <r>
          <rPr>
            <sz val="8"/>
            <color rgb="FF000000"/>
            <rFont val="Tahoma"/>
            <family val="2"/>
          </rPr>
          <t>197</t>
        </r>
      </text>
    </comment>
    <comment ref="AA71" authorId="0" shapeId="0" xr:uid="{00000000-0006-0000-0E00-000053000000}">
      <text>
        <r>
          <rPr>
            <sz val="8"/>
            <color rgb="FF000000"/>
            <rFont val="Tahoma"/>
            <family val="2"/>
          </rPr>
          <t>198</t>
        </r>
      </text>
    </comment>
    <comment ref="AA72" authorId="0" shapeId="0" xr:uid="{00000000-0006-0000-0E00-000054000000}">
      <text>
        <r>
          <rPr>
            <sz val="8"/>
            <color rgb="FF000000"/>
            <rFont val="Tahoma"/>
            <family val="2"/>
          </rPr>
          <t>69</t>
        </r>
      </text>
    </comment>
    <comment ref="AA73" authorId="0" shapeId="0" xr:uid="{00000000-0006-0000-0E00-000055000000}">
      <text>
        <r>
          <rPr>
            <sz val="8"/>
            <color rgb="FF000000"/>
            <rFont val="Tahoma"/>
            <family val="2"/>
          </rPr>
          <t>199</t>
        </r>
      </text>
    </comment>
    <comment ref="AA74" authorId="0" shapeId="0" xr:uid="{00000000-0006-0000-0E00-000056000000}">
      <text>
        <r>
          <rPr>
            <sz val="8"/>
            <color rgb="FF000000"/>
            <rFont val="Tahoma"/>
            <family val="2"/>
          </rPr>
          <t>72</t>
        </r>
      </text>
    </comment>
    <comment ref="AA75" authorId="0" shapeId="0" xr:uid="{00000000-0006-0000-0E00-000057000000}">
      <text>
        <r>
          <rPr>
            <sz val="8"/>
            <color rgb="FF000000"/>
            <rFont val="Tahoma"/>
            <family val="2"/>
          </rPr>
          <t>200</t>
        </r>
      </text>
    </comment>
    <comment ref="AA76" authorId="0" shapeId="0" xr:uid="{00000000-0006-0000-0E00-000058000000}">
      <text>
        <r>
          <rPr>
            <sz val="8"/>
            <color rgb="FF000000"/>
            <rFont val="Tahoma"/>
            <family val="2"/>
          </rPr>
          <t>181</t>
        </r>
      </text>
    </comment>
    <comment ref="AA77" authorId="0" shapeId="0" xr:uid="{00000000-0006-0000-0E00-000059000000}">
      <text>
        <r>
          <rPr>
            <sz val="8"/>
            <color rgb="FF000000"/>
            <rFont val="Tahoma"/>
            <family val="2"/>
          </rPr>
          <t>73</t>
        </r>
      </text>
    </comment>
    <comment ref="AA78" authorId="0" shapeId="0" xr:uid="{00000000-0006-0000-0E00-00005A000000}">
      <text>
        <r>
          <rPr>
            <sz val="8"/>
            <color rgb="FF000000"/>
            <rFont val="Tahoma"/>
            <family val="2"/>
          </rPr>
          <t>70</t>
        </r>
      </text>
    </comment>
    <comment ref="AA79" authorId="0" shapeId="0" xr:uid="{00000000-0006-0000-0E00-00005B000000}">
      <text>
        <r>
          <rPr>
            <sz val="8"/>
            <color rgb="FF000000"/>
            <rFont val="Tahoma"/>
            <family val="2"/>
          </rPr>
          <t>76</t>
        </r>
      </text>
    </comment>
    <comment ref="AA80" authorId="0" shapeId="0" xr:uid="{00000000-0006-0000-0E00-00005C000000}">
      <text>
        <r>
          <rPr>
            <sz val="8"/>
            <color rgb="FF000000"/>
            <rFont val="Tahoma"/>
            <family val="2"/>
          </rPr>
          <t>75</t>
        </r>
      </text>
    </comment>
    <comment ref="AA81" authorId="0" shapeId="0" xr:uid="{00000000-0006-0000-0E00-00005D000000}">
      <text>
        <r>
          <rPr>
            <sz val="8"/>
            <color rgb="FF000000"/>
            <rFont val="Tahoma"/>
            <family val="2"/>
          </rPr>
          <t>82</t>
        </r>
      </text>
    </comment>
    <comment ref="AA82" authorId="0" shapeId="0" xr:uid="{00000000-0006-0000-0E00-00005E000000}">
      <text>
        <r>
          <rPr>
            <sz val="8"/>
            <color rgb="FF000000"/>
            <rFont val="Tahoma"/>
            <family val="2"/>
          </rPr>
          <t>77</t>
        </r>
      </text>
    </comment>
    <comment ref="AA83" authorId="0" shapeId="0" xr:uid="{00000000-0006-0000-0E00-00005F000000}">
      <text>
        <r>
          <rPr>
            <sz val="8"/>
            <color rgb="FF000000"/>
            <rFont val="Tahoma"/>
            <family val="2"/>
          </rPr>
          <t>79</t>
        </r>
      </text>
    </comment>
    <comment ref="AA84" authorId="0" shapeId="0" xr:uid="{00000000-0006-0000-0E00-000060000000}">
      <text>
        <r>
          <rPr>
            <sz val="8"/>
            <color rgb="FF000000"/>
            <rFont val="Tahoma"/>
            <family val="2"/>
          </rPr>
          <t>80</t>
        </r>
      </text>
    </comment>
    <comment ref="AA85" authorId="0" shapeId="0" xr:uid="{00000000-0006-0000-0E00-000061000000}">
      <text>
        <r>
          <rPr>
            <sz val="8"/>
            <color rgb="FF000000"/>
            <rFont val="Tahoma"/>
            <family val="2"/>
          </rPr>
          <t>81</t>
        </r>
      </text>
    </comment>
    <comment ref="AA86" authorId="0" shapeId="0" xr:uid="{00000000-0006-0000-0E00-000062000000}">
      <text>
        <r>
          <rPr>
            <sz val="8"/>
            <color rgb="FF000000"/>
            <rFont val="Tahoma"/>
            <family val="2"/>
          </rPr>
          <t>182</t>
        </r>
      </text>
    </comment>
    <comment ref="AA87" authorId="0" shapeId="0" xr:uid="{00000000-0006-0000-0E00-000063000000}">
      <text>
        <r>
          <rPr>
            <sz val="8"/>
            <color rgb="FF000000"/>
            <rFont val="Tahoma"/>
            <family val="2"/>
          </rPr>
          <t>78</t>
        </r>
      </text>
    </comment>
    <comment ref="AA88" authorId="0" shapeId="0" xr:uid="{00000000-0006-0000-0E00-000064000000}">
      <text>
        <r>
          <rPr>
            <sz val="8"/>
            <color rgb="FF000000"/>
            <rFont val="Tahoma"/>
            <family val="2"/>
          </rPr>
          <t>74</t>
        </r>
      </text>
    </comment>
    <comment ref="AA89" authorId="0" shapeId="0" xr:uid="{00000000-0006-0000-0E00-000065000000}">
      <text>
        <r>
          <rPr>
            <sz val="8"/>
            <color rgb="FF000000"/>
            <rFont val="Tahoma"/>
            <family val="2"/>
          </rPr>
          <t>96</t>
        </r>
      </text>
    </comment>
    <comment ref="AA90" authorId="0" shapeId="0" xr:uid="{00000000-0006-0000-0E00-000066000000}">
      <text>
        <r>
          <rPr>
            <sz val="8"/>
            <color rgb="FF000000"/>
            <rFont val="Tahoma"/>
            <family val="2"/>
          </rPr>
          <t>93</t>
        </r>
      </text>
    </comment>
    <comment ref="AA91" authorId="0" shapeId="0" xr:uid="{00000000-0006-0000-0E00-000067000000}">
      <text>
        <r>
          <rPr>
            <sz val="8"/>
            <color rgb="FF000000"/>
            <rFont val="Tahoma"/>
            <family val="2"/>
          </rPr>
          <t>201</t>
        </r>
      </text>
    </comment>
    <comment ref="AA92" authorId="0" shapeId="0" xr:uid="{00000000-0006-0000-0E00-000068000000}">
      <text>
        <r>
          <rPr>
            <sz val="8"/>
            <color rgb="FF000000"/>
            <rFont val="Tahoma"/>
            <family val="2"/>
          </rPr>
          <t>83</t>
        </r>
      </text>
    </comment>
    <comment ref="AA93" authorId="0" shapeId="0" xr:uid="{00000000-0006-0000-0E00-000069000000}">
      <text>
        <r>
          <rPr>
            <sz val="8"/>
            <color rgb="FF000000"/>
            <rFont val="Tahoma"/>
            <family val="2"/>
          </rPr>
          <t>94</t>
        </r>
      </text>
    </comment>
    <comment ref="AA94" authorId="0" shapeId="0" xr:uid="{00000000-0006-0000-0E00-00006A000000}">
      <text>
        <r>
          <rPr>
            <sz val="8"/>
            <color rgb="FF000000"/>
            <rFont val="Tahoma"/>
            <family val="2"/>
          </rPr>
          <t>92</t>
        </r>
      </text>
    </comment>
    <comment ref="AA95" authorId="0" shapeId="0" xr:uid="{00000000-0006-0000-0E00-00006B000000}">
      <text>
        <r>
          <rPr>
            <sz val="8"/>
            <color rgb="FF000000"/>
            <rFont val="Tahoma"/>
            <family val="2"/>
          </rPr>
          <t>89</t>
        </r>
      </text>
    </comment>
    <comment ref="AA96" authorId="0" shapeId="0" xr:uid="{00000000-0006-0000-0E00-00006C000000}">
      <text>
        <r>
          <rPr>
            <sz val="8"/>
            <color rgb="FF000000"/>
            <rFont val="Tahoma"/>
            <family val="2"/>
          </rPr>
          <t>91</t>
        </r>
      </text>
    </comment>
    <comment ref="AA97" authorId="0" shapeId="0" xr:uid="{00000000-0006-0000-0E00-00006D000000}">
      <text>
        <r>
          <rPr>
            <sz val="8"/>
            <color rgb="FF000000"/>
            <rFont val="Tahoma"/>
            <family val="2"/>
          </rPr>
          <t>202</t>
        </r>
      </text>
    </comment>
    <comment ref="AA98" authorId="0" shapeId="0" xr:uid="{00000000-0006-0000-0E00-00006E000000}">
      <text>
        <r>
          <rPr>
            <sz val="8"/>
            <color rgb="FF000000"/>
            <rFont val="Tahoma"/>
            <family val="2"/>
          </rPr>
          <t>95</t>
        </r>
      </text>
    </comment>
    <comment ref="AA99" authorId="0" shapeId="0" xr:uid="{00000000-0006-0000-0E00-00006F000000}">
      <text>
        <r>
          <rPr>
            <sz val="8"/>
            <color rgb="FF000000"/>
            <rFont val="Tahoma"/>
            <family val="2"/>
          </rPr>
          <t>84</t>
        </r>
      </text>
    </comment>
    <comment ref="AA100" authorId="0" shapeId="0" xr:uid="{00000000-0006-0000-0E00-000070000000}">
      <text>
        <r>
          <rPr>
            <sz val="8"/>
            <color rgb="FF000000"/>
            <rFont val="Tahoma"/>
            <family val="2"/>
          </rPr>
          <t>203</t>
        </r>
      </text>
    </comment>
    <comment ref="AA101" authorId="0" shapeId="0" xr:uid="{00000000-0006-0000-0E00-000071000000}">
      <text>
        <r>
          <rPr>
            <sz val="8"/>
            <color rgb="FF000000"/>
            <rFont val="Tahoma"/>
            <family val="2"/>
          </rPr>
          <t>183</t>
        </r>
      </text>
    </comment>
    <comment ref="AA102" authorId="0" shapeId="0" xr:uid="{00000000-0006-0000-0E00-000072000000}">
      <text>
        <r>
          <rPr>
            <sz val="8"/>
            <color rgb="FF000000"/>
            <rFont val="Tahoma"/>
            <family val="2"/>
          </rPr>
          <t>86</t>
        </r>
      </text>
    </comment>
    <comment ref="AA103" authorId="0" shapeId="0" xr:uid="{00000000-0006-0000-0E00-000073000000}">
      <text>
        <r>
          <rPr>
            <sz val="8"/>
            <color rgb="FF000000"/>
            <rFont val="Tahoma"/>
            <family val="2"/>
          </rPr>
          <t>85</t>
        </r>
      </text>
    </comment>
    <comment ref="AA104" authorId="0" shapeId="0" xr:uid="{00000000-0006-0000-0E00-000074000000}">
      <text>
        <r>
          <rPr>
            <sz val="8"/>
            <color rgb="FF000000"/>
            <rFont val="Tahoma"/>
            <family val="2"/>
          </rPr>
          <t>87</t>
        </r>
      </text>
    </comment>
    <comment ref="AA105" authorId="0" shapeId="0" xr:uid="{00000000-0006-0000-0E00-000075000000}">
      <text>
        <r>
          <rPr>
            <sz val="8"/>
            <color rgb="FF000000"/>
            <rFont val="Tahoma"/>
            <family val="2"/>
          </rPr>
          <t>204</t>
        </r>
      </text>
    </comment>
    <comment ref="AA106" authorId="0" shapeId="0" xr:uid="{00000000-0006-0000-0E00-000076000000}">
      <text>
        <r>
          <rPr>
            <sz val="8"/>
            <color rgb="FF000000"/>
            <rFont val="Tahoma"/>
            <family val="2"/>
          </rPr>
          <t>205</t>
        </r>
      </text>
    </comment>
    <comment ref="AA107" authorId="0" shapeId="0" xr:uid="{00000000-0006-0000-0E00-000077000000}">
      <text>
        <r>
          <rPr>
            <sz val="8"/>
            <color rgb="FF000000"/>
            <rFont val="Tahoma"/>
            <family val="2"/>
          </rPr>
          <t>206</t>
        </r>
      </text>
    </comment>
    <comment ref="AA108" authorId="0" shapeId="0" xr:uid="{00000000-0006-0000-0E00-000078000000}">
      <text>
        <r>
          <rPr>
            <sz val="8"/>
            <color rgb="FF000000"/>
            <rFont val="Tahoma"/>
            <family val="2"/>
          </rPr>
          <t>90</t>
        </r>
      </text>
    </comment>
    <comment ref="AA109" authorId="0" shapeId="0" xr:uid="{00000000-0006-0000-0E00-000079000000}">
      <text>
        <r>
          <rPr>
            <sz val="8"/>
            <color rgb="FF000000"/>
            <rFont val="Tahoma"/>
            <family val="2"/>
          </rPr>
          <t>88</t>
        </r>
      </text>
    </comment>
    <comment ref="AA110" authorId="0" shapeId="0" xr:uid="{00000000-0006-0000-0E00-00007A000000}">
      <text>
        <r>
          <rPr>
            <sz val="8"/>
            <color rgb="FF000000"/>
            <rFont val="Tahoma"/>
            <family val="2"/>
          </rPr>
          <t>97</t>
        </r>
      </text>
    </comment>
    <comment ref="AA111" authorId="0" shapeId="0" xr:uid="{00000000-0006-0000-0E00-00007B000000}">
      <text>
        <r>
          <rPr>
            <sz val="8"/>
            <color rgb="FF000000"/>
            <rFont val="Tahoma"/>
            <family val="2"/>
          </rPr>
          <t>99</t>
        </r>
      </text>
    </comment>
    <comment ref="AA112" authorId="0" shapeId="0" xr:uid="{00000000-0006-0000-0E00-00007C000000}">
      <text>
        <r>
          <rPr>
            <sz val="8"/>
            <color rgb="FF000000"/>
            <rFont val="Tahoma"/>
            <family val="2"/>
          </rPr>
          <t>207</t>
        </r>
      </text>
    </comment>
    <comment ref="AA113" authorId="0" shapeId="0" xr:uid="{00000000-0006-0000-0E00-00007D000000}">
      <text>
        <r>
          <rPr>
            <sz val="8"/>
            <color rgb="FF000000"/>
            <rFont val="Tahoma"/>
            <family val="2"/>
          </rPr>
          <t>104</t>
        </r>
      </text>
    </comment>
    <comment ref="AA114" authorId="0" shapeId="0" xr:uid="{00000000-0006-0000-0E00-00007E000000}">
      <text>
        <r>
          <rPr>
            <sz val="8"/>
            <color rgb="FF000000"/>
            <rFont val="Tahoma"/>
            <family val="2"/>
          </rPr>
          <t>105</t>
        </r>
      </text>
    </comment>
    <comment ref="AA115" authorId="0" shapeId="0" xr:uid="{00000000-0006-0000-0E00-00007F000000}">
      <text>
        <r>
          <rPr>
            <sz val="8"/>
            <color rgb="FF000000"/>
            <rFont val="Tahoma"/>
            <family val="2"/>
          </rPr>
          <t>208</t>
        </r>
      </text>
    </comment>
    <comment ref="AA116" authorId="0" shapeId="0" xr:uid="{00000000-0006-0000-0E00-000080000000}">
      <text>
        <r>
          <rPr>
            <sz val="8"/>
            <color rgb="FF000000"/>
            <rFont val="Tahoma"/>
            <family val="2"/>
          </rPr>
          <t>98</t>
        </r>
      </text>
    </comment>
    <comment ref="AA117" authorId="0" shapeId="0" xr:uid="{00000000-0006-0000-0E00-000081000000}">
      <text>
        <r>
          <rPr>
            <sz val="8"/>
            <color rgb="FF000000"/>
            <rFont val="Tahoma"/>
            <family val="2"/>
          </rPr>
          <t>184</t>
        </r>
      </text>
    </comment>
    <comment ref="AA118" authorId="0" shapeId="0" xr:uid="{00000000-0006-0000-0E00-000082000000}">
      <text>
        <r>
          <rPr>
            <sz val="8"/>
            <color rgb="FF000000"/>
            <rFont val="Tahoma"/>
            <family val="2"/>
          </rPr>
          <t>209</t>
        </r>
      </text>
    </comment>
    <comment ref="AA119" authorId="0" shapeId="0" xr:uid="{00000000-0006-0000-0E00-000083000000}">
      <text>
        <r>
          <rPr>
            <sz val="8"/>
            <color rgb="FF000000"/>
            <rFont val="Tahoma"/>
            <family val="2"/>
          </rPr>
          <t>100</t>
        </r>
      </text>
    </comment>
    <comment ref="AA120" authorId="0" shapeId="0" xr:uid="{00000000-0006-0000-0E00-000084000000}">
      <text>
        <r>
          <rPr>
            <sz val="8"/>
            <color rgb="FF000000"/>
            <rFont val="Tahoma"/>
            <family val="2"/>
          </rPr>
          <t>106</t>
        </r>
      </text>
    </comment>
    <comment ref="AA121" authorId="0" shapeId="0" xr:uid="{00000000-0006-0000-0E00-000085000000}">
      <text>
        <r>
          <rPr>
            <sz val="8"/>
            <color rgb="FF000000"/>
            <rFont val="Tahoma"/>
            <family val="2"/>
          </rPr>
          <t>107</t>
        </r>
      </text>
    </comment>
    <comment ref="AA122" authorId="0" shapeId="0" xr:uid="{00000000-0006-0000-0E00-000086000000}">
      <text>
        <r>
          <rPr>
            <sz val="8"/>
            <color rgb="FF000000"/>
            <rFont val="Tahoma"/>
            <family val="2"/>
          </rPr>
          <t>103</t>
        </r>
      </text>
    </comment>
    <comment ref="AA123" authorId="0" shapeId="0" xr:uid="{00000000-0006-0000-0E00-000087000000}">
      <text>
        <r>
          <rPr>
            <sz val="8"/>
            <color rgb="FF000000"/>
            <rFont val="Tahoma"/>
            <family val="2"/>
          </rPr>
          <t>102</t>
        </r>
      </text>
    </comment>
    <comment ref="AA124" authorId="0" shapeId="0" xr:uid="{00000000-0006-0000-0E00-000088000000}">
      <text>
        <r>
          <rPr>
            <sz val="8"/>
            <color rgb="FF000000"/>
            <rFont val="Tahoma"/>
            <family val="2"/>
          </rPr>
          <t>101</t>
        </r>
      </text>
    </comment>
    <comment ref="AA125" authorId="0" shapeId="0" xr:uid="{00000000-0006-0000-0E00-000089000000}">
      <text>
        <r>
          <rPr>
            <sz val="8"/>
            <color rgb="FF000000"/>
            <rFont val="Tahoma"/>
            <family val="2"/>
          </rPr>
          <t>110</t>
        </r>
      </text>
    </comment>
    <comment ref="AA126" authorId="0" shapeId="0" xr:uid="{00000000-0006-0000-0E00-00008A000000}">
      <text>
        <r>
          <rPr>
            <sz val="8"/>
            <color rgb="FF000000"/>
            <rFont val="Tahoma"/>
            <family val="2"/>
          </rPr>
          <t>113</t>
        </r>
      </text>
    </comment>
    <comment ref="AA127" authorId="0" shapeId="0" xr:uid="{00000000-0006-0000-0E00-00008B000000}">
      <text>
        <r>
          <rPr>
            <sz val="8"/>
            <color rgb="FF000000"/>
            <rFont val="Tahoma"/>
            <family val="2"/>
          </rPr>
          <t>118</t>
        </r>
      </text>
    </comment>
    <comment ref="AA128" authorId="0" shapeId="0" xr:uid="{00000000-0006-0000-0E00-00008C000000}">
      <text>
        <r>
          <rPr>
            <sz val="8"/>
            <color rgb="FF000000"/>
            <rFont val="Tahoma"/>
            <family val="2"/>
          </rPr>
          <t>117</t>
        </r>
      </text>
    </comment>
    <comment ref="AA129" authorId="0" shapeId="0" xr:uid="{00000000-0006-0000-0E00-00008D000000}">
      <text>
        <r>
          <rPr>
            <sz val="8"/>
            <color rgb="FF000000"/>
            <rFont val="Tahoma"/>
            <family val="2"/>
          </rPr>
          <t>119</t>
        </r>
      </text>
    </comment>
    <comment ref="AA130" authorId="0" shapeId="0" xr:uid="{00000000-0006-0000-0E00-00008E000000}">
      <text>
        <r>
          <rPr>
            <sz val="8"/>
            <color rgb="FF000000"/>
            <rFont val="Tahoma"/>
            <family val="2"/>
          </rPr>
          <t>111</t>
        </r>
      </text>
    </comment>
    <comment ref="AA131" authorId="0" shapeId="0" xr:uid="{00000000-0006-0000-0E00-00008F000000}">
      <text>
        <r>
          <rPr>
            <sz val="8"/>
            <color rgb="FF000000"/>
            <rFont val="Tahoma"/>
            <family val="2"/>
          </rPr>
          <t>120</t>
        </r>
      </text>
    </comment>
    <comment ref="AA132" authorId="0" shapeId="0" xr:uid="{00000000-0006-0000-0E00-000090000000}">
      <text>
        <r>
          <rPr>
            <sz val="8"/>
            <color rgb="FF000000"/>
            <rFont val="Tahoma"/>
            <family val="2"/>
          </rPr>
          <t>115</t>
        </r>
      </text>
    </comment>
    <comment ref="AA133" authorId="0" shapeId="0" xr:uid="{00000000-0006-0000-0E00-000091000000}">
      <text>
        <r>
          <rPr>
            <sz val="8"/>
            <color rgb="FF000000"/>
            <rFont val="Tahoma"/>
            <family val="2"/>
          </rPr>
          <t>116</t>
        </r>
      </text>
    </comment>
    <comment ref="AA134" authorId="0" shapeId="0" xr:uid="{00000000-0006-0000-0E00-000092000000}">
      <text>
        <r>
          <rPr>
            <sz val="8"/>
            <color rgb="FF000000"/>
            <rFont val="Tahoma"/>
            <family val="2"/>
          </rPr>
          <t>112</t>
        </r>
      </text>
    </comment>
    <comment ref="AA135" authorId="0" shapeId="0" xr:uid="{00000000-0006-0000-0E00-000093000000}">
      <text>
        <r>
          <rPr>
            <sz val="8"/>
            <color rgb="FF000000"/>
            <rFont val="Tahoma"/>
            <family val="2"/>
          </rPr>
          <t>185</t>
        </r>
      </text>
    </comment>
    <comment ref="AA136" authorId="0" shapeId="0" xr:uid="{00000000-0006-0000-0E00-000094000000}">
      <text>
        <r>
          <rPr>
            <sz val="8"/>
            <color rgb="FF000000"/>
            <rFont val="Tahoma"/>
            <family val="2"/>
          </rPr>
          <t>114</t>
        </r>
      </text>
    </comment>
    <comment ref="AA137" authorId="0" shapeId="0" xr:uid="{00000000-0006-0000-0E00-000095000000}">
      <text>
        <r>
          <rPr>
            <sz val="8"/>
            <color rgb="FF000000"/>
            <rFont val="Tahoma"/>
            <family val="2"/>
          </rPr>
          <t>108</t>
        </r>
      </text>
    </comment>
    <comment ref="AA138" authorId="0" shapeId="0" xr:uid="{00000000-0006-0000-0E00-000096000000}">
      <text>
        <r>
          <rPr>
            <sz val="8"/>
            <color rgb="FF000000"/>
            <rFont val="Tahoma"/>
            <family val="2"/>
          </rPr>
          <t>109</t>
        </r>
      </text>
    </comment>
    <comment ref="AA139" authorId="0" shapeId="0" xr:uid="{00000000-0006-0000-0E00-000097000000}">
      <text>
        <r>
          <rPr>
            <sz val="8"/>
            <color rgb="FF000000"/>
            <rFont val="Tahoma"/>
            <family val="2"/>
          </rPr>
          <t>189</t>
        </r>
      </text>
    </comment>
    <comment ref="AA140" authorId="0" shapeId="0" xr:uid="{00000000-0006-0000-0E00-000098000000}">
      <text>
        <r>
          <rPr>
            <sz val="8"/>
            <color rgb="FF000000"/>
            <rFont val="Tahoma"/>
            <family val="2"/>
          </rPr>
          <t>128</t>
        </r>
      </text>
    </comment>
    <comment ref="AA141" authorId="0" shapeId="0" xr:uid="{00000000-0006-0000-0E00-000099000000}">
      <text>
        <r>
          <rPr>
            <sz val="8"/>
            <color rgb="FF000000"/>
            <rFont val="Tahoma"/>
            <family val="2"/>
          </rPr>
          <t>121</t>
        </r>
      </text>
    </comment>
    <comment ref="AA142" authorId="0" shapeId="0" xr:uid="{00000000-0006-0000-0E00-00009A000000}">
      <text>
        <r>
          <rPr>
            <sz val="8"/>
            <color rgb="FF000000"/>
            <rFont val="Tahoma"/>
            <family val="2"/>
          </rPr>
          <t>122</t>
        </r>
      </text>
    </comment>
    <comment ref="AA143" authorId="0" shapeId="0" xr:uid="{00000000-0006-0000-0E00-00009B000000}">
      <text>
        <r>
          <rPr>
            <sz val="8"/>
            <color rgb="FF000000"/>
            <rFont val="Tahoma"/>
            <family val="2"/>
          </rPr>
          <t>126</t>
        </r>
      </text>
    </comment>
    <comment ref="AA144" authorId="0" shapeId="0" xr:uid="{00000000-0006-0000-0E00-00009C000000}">
      <text>
        <r>
          <rPr>
            <sz val="8"/>
            <color rgb="FF000000"/>
            <rFont val="Tahoma"/>
            <family val="2"/>
          </rPr>
          <t>127</t>
        </r>
      </text>
    </comment>
    <comment ref="AA145" authorId="0" shapeId="0" xr:uid="{00000000-0006-0000-0E00-00009D000000}">
      <text>
        <r>
          <rPr>
            <sz val="8"/>
            <color rgb="FF000000"/>
            <rFont val="Tahoma"/>
            <family val="2"/>
          </rPr>
          <t>186</t>
        </r>
      </text>
    </comment>
    <comment ref="AA146" authorId="0" shapeId="0" xr:uid="{00000000-0006-0000-0E00-00009E000000}">
      <text>
        <r>
          <rPr>
            <sz val="8"/>
            <color rgb="FF000000"/>
            <rFont val="Tahoma"/>
            <family val="2"/>
          </rPr>
          <t>125</t>
        </r>
      </text>
    </comment>
    <comment ref="AA147" authorId="0" shapeId="0" xr:uid="{00000000-0006-0000-0E00-00009F000000}">
      <text>
        <r>
          <rPr>
            <sz val="8"/>
            <color rgb="FF000000"/>
            <rFont val="Tahoma"/>
            <family val="2"/>
          </rPr>
          <t>210</t>
        </r>
      </text>
    </comment>
    <comment ref="AA148" authorId="0" shapeId="0" xr:uid="{00000000-0006-0000-0E00-0000A0000000}">
      <text>
        <r>
          <rPr>
            <sz val="8"/>
            <color rgb="FF000000"/>
            <rFont val="Tahoma"/>
            <family val="2"/>
          </rPr>
          <t>129</t>
        </r>
      </text>
    </comment>
    <comment ref="AA149" authorId="0" shapeId="0" xr:uid="{00000000-0006-0000-0E00-0000A1000000}">
      <text>
        <r>
          <rPr>
            <sz val="8"/>
            <color rgb="FF000000"/>
            <rFont val="Tahoma"/>
            <family val="2"/>
          </rPr>
          <t>124</t>
        </r>
      </text>
    </comment>
    <comment ref="AA150" authorId="0" shapeId="0" xr:uid="{00000000-0006-0000-0E00-0000A2000000}">
      <text>
        <r>
          <rPr>
            <sz val="8"/>
            <color rgb="FF000000"/>
            <rFont val="Tahoma"/>
            <family val="2"/>
          </rPr>
          <t>211</t>
        </r>
      </text>
    </comment>
    <comment ref="AA151" authorId="0" shapeId="0" xr:uid="{00000000-0006-0000-0E00-0000A3000000}">
      <text>
        <r>
          <rPr>
            <sz val="8"/>
            <color rgb="FF000000"/>
            <rFont val="Tahoma"/>
            <family val="2"/>
          </rPr>
          <t>212</t>
        </r>
      </text>
    </comment>
    <comment ref="AA152" authorId="0" shapeId="0" xr:uid="{00000000-0006-0000-0E00-0000A4000000}">
      <text>
        <r>
          <rPr>
            <sz val="8"/>
            <color rgb="FF000000"/>
            <rFont val="Tahoma"/>
            <family val="2"/>
          </rPr>
          <t>213</t>
        </r>
      </text>
    </comment>
    <comment ref="AA153" authorId="0" shapeId="0" xr:uid="{00000000-0006-0000-0E00-0000A5000000}">
      <text>
        <r>
          <rPr>
            <sz val="8"/>
            <color rgb="FF000000"/>
            <rFont val="Tahoma"/>
            <family val="2"/>
          </rPr>
          <t>123</t>
        </r>
      </text>
    </comment>
    <comment ref="AA154" authorId="0" shapeId="0" xr:uid="{00000000-0006-0000-0E00-0000A6000000}">
      <text>
        <r>
          <rPr>
            <sz val="8"/>
            <color rgb="FF000000"/>
            <rFont val="Tahoma"/>
            <family val="2"/>
          </rPr>
          <t>130</t>
        </r>
      </text>
    </comment>
    <comment ref="AA155" authorId="0" shapeId="0" xr:uid="{00000000-0006-0000-0E00-0000A7000000}">
      <text>
        <r>
          <rPr>
            <sz val="8"/>
            <color rgb="FF000000"/>
            <rFont val="Tahoma"/>
            <family val="2"/>
          </rPr>
          <t>136</t>
        </r>
      </text>
    </comment>
    <comment ref="AA156" authorId="0" shapeId="0" xr:uid="{00000000-0006-0000-0E00-0000A8000000}">
      <text>
        <r>
          <rPr>
            <sz val="8"/>
            <color rgb="FF000000"/>
            <rFont val="Tahoma"/>
            <family val="2"/>
          </rPr>
          <t>140</t>
        </r>
      </text>
    </comment>
    <comment ref="AA157" authorId="0" shapeId="0" xr:uid="{00000000-0006-0000-0E00-0000A9000000}">
      <text>
        <r>
          <rPr>
            <sz val="8"/>
            <color rgb="FF000000"/>
            <rFont val="Tahoma"/>
            <family val="2"/>
          </rPr>
          <t>132</t>
        </r>
      </text>
    </comment>
    <comment ref="AA158" authorId="0" shapeId="0" xr:uid="{00000000-0006-0000-0E00-0000AA000000}">
      <text>
        <r>
          <rPr>
            <sz val="8"/>
            <color rgb="FF000000"/>
            <rFont val="Tahoma"/>
            <family val="2"/>
          </rPr>
          <t>141</t>
        </r>
      </text>
    </comment>
    <comment ref="AA159" authorId="0" shapeId="0" xr:uid="{00000000-0006-0000-0E00-0000AB000000}">
      <text>
        <r>
          <rPr>
            <sz val="8"/>
            <color rgb="FF000000"/>
            <rFont val="Tahoma"/>
            <family val="2"/>
          </rPr>
          <t>131</t>
        </r>
      </text>
    </comment>
    <comment ref="AA160" authorId="0" shapeId="0" xr:uid="{00000000-0006-0000-0E00-0000AC000000}">
      <text>
        <r>
          <rPr>
            <sz val="8"/>
            <color rgb="FF000000"/>
            <rFont val="Tahoma"/>
            <family val="2"/>
          </rPr>
          <t>146</t>
        </r>
      </text>
    </comment>
    <comment ref="AA161" authorId="0" shapeId="0" xr:uid="{00000000-0006-0000-0E00-0000AD000000}">
      <text>
        <r>
          <rPr>
            <sz val="8"/>
            <color rgb="FF000000"/>
            <rFont val="Tahoma"/>
            <family val="2"/>
          </rPr>
          <t>214</t>
        </r>
      </text>
    </comment>
    <comment ref="AA162" authorId="0" shapeId="0" xr:uid="{00000000-0006-0000-0E00-0000AE000000}">
      <text>
        <r>
          <rPr>
            <sz val="8"/>
            <color rgb="FF000000"/>
            <rFont val="Tahoma"/>
            <family val="2"/>
          </rPr>
          <t>137</t>
        </r>
      </text>
    </comment>
    <comment ref="AA163" authorId="0" shapeId="0" xr:uid="{00000000-0006-0000-0E00-0000AF000000}">
      <text>
        <r>
          <rPr>
            <sz val="8"/>
            <color rgb="FF000000"/>
            <rFont val="Tahoma"/>
            <family val="2"/>
          </rPr>
          <t>142</t>
        </r>
      </text>
    </comment>
    <comment ref="AA164" authorId="0" shapeId="0" xr:uid="{00000000-0006-0000-0E00-0000B0000000}">
      <text>
        <r>
          <rPr>
            <sz val="8"/>
            <color rgb="FF000000"/>
            <rFont val="Tahoma"/>
            <family val="2"/>
          </rPr>
          <t>134</t>
        </r>
      </text>
    </comment>
    <comment ref="AA165" authorId="0" shapeId="0" xr:uid="{00000000-0006-0000-0E00-0000B1000000}">
      <text>
        <r>
          <rPr>
            <sz val="8"/>
            <color rgb="FF000000"/>
            <rFont val="Tahoma"/>
            <family val="2"/>
          </rPr>
          <t>135</t>
        </r>
      </text>
    </comment>
    <comment ref="AA166" authorId="0" shapeId="0" xr:uid="{00000000-0006-0000-0E00-0000B2000000}">
      <text>
        <r>
          <rPr>
            <sz val="8"/>
            <color rgb="FF000000"/>
            <rFont val="Tahoma"/>
            <family val="2"/>
          </rPr>
          <t>139</t>
        </r>
      </text>
    </comment>
    <comment ref="AA167" authorId="0" shapeId="0" xr:uid="{00000000-0006-0000-0E00-0000B3000000}">
      <text>
        <r>
          <rPr>
            <sz val="8"/>
            <color rgb="FF000000"/>
            <rFont val="Tahoma"/>
            <family val="2"/>
          </rPr>
          <t>187</t>
        </r>
      </text>
    </comment>
    <comment ref="AA168" authorId="0" shapeId="0" xr:uid="{00000000-0006-0000-0E00-0000B4000000}">
      <text>
        <r>
          <rPr>
            <sz val="8"/>
            <color rgb="FF000000"/>
            <rFont val="Tahoma"/>
            <family val="2"/>
          </rPr>
          <t>144</t>
        </r>
      </text>
    </comment>
    <comment ref="AA169" authorId="0" shapeId="0" xr:uid="{00000000-0006-0000-0E00-0000B5000000}">
      <text>
        <r>
          <rPr>
            <sz val="8"/>
            <color rgb="FF000000"/>
            <rFont val="Tahoma"/>
            <family val="2"/>
          </rPr>
          <t>145</t>
        </r>
      </text>
    </comment>
    <comment ref="AA170" authorId="0" shapeId="0" xr:uid="{00000000-0006-0000-0E00-0000B6000000}">
      <text>
        <r>
          <rPr>
            <sz val="8"/>
            <color rgb="FF000000"/>
            <rFont val="Tahoma"/>
            <family val="2"/>
          </rPr>
          <t>143</t>
        </r>
      </text>
    </comment>
    <comment ref="AA171" authorId="0" shapeId="0" xr:uid="{00000000-0006-0000-0E00-0000B7000000}">
      <text>
        <r>
          <rPr>
            <sz val="8"/>
            <color rgb="FF000000"/>
            <rFont val="Tahoma"/>
            <family val="2"/>
          </rPr>
          <t>133</t>
        </r>
      </text>
    </comment>
    <comment ref="AA172" authorId="0" shapeId="0" xr:uid="{00000000-0006-0000-0E00-0000B8000000}">
      <text>
        <r>
          <rPr>
            <sz val="8"/>
            <color rgb="FF000000"/>
            <rFont val="Tahoma"/>
            <family val="2"/>
          </rPr>
          <t>138</t>
        </r>
      </text>
    </comment>
    <comment ref="AA173" authorId="0" shapeId="0" xr:uid="{00000000-0006-0000-0E00-0000B9000000}">
      <text>
        <r>
          <rPr>
            <sz val="8"/>
            <color rgb="FF000000"/>
            <rFont val="Tahoma"/>
            <family val="2"/>
          </rPr>
          <t>173</t>
        </r>
      </text>
    </comment>
    <comment ref="AA174" authorId="0" shapeId="0" xr:uid="{00000000-0006-0000-0E00-0000BA000000}">
      <text>
        <r>
          <rPr>
            <sz val="8"/>
            <color rgb="FF000000"/>
            <rFont val="Tahoma"/>
            <family val="2"/>
          </rPr>
          <t>160</t>
        </r>
      </text>
    </comment>
    <comment ref="AA175" authorId="0" shapeId="0" xr:uid="{00000000-0006-0000-0E00-0000BB000000}">
      <text>
        <r>
          <rPr>
            <sz val="8"/>
            <color rgb="FF000000"/>
            <rFont val="Tahoma"/>
            <family val="2"/>
          </rPr>
          <t>156</t>
        </r>
      </text>
    </comment>
    <comment ref="AA176" authorId="0" shapeId="0" xr:uid="{00000000-0006-0000-0E00-0000BC000000}">
      <text>
        <r>
          <rPr>
            <sz val="8"/>
            <color rgb="FF000000"/>
            <rFont val="Tahoma"/>
            <family val="2"/>
          </rPr>
          <t>155</t>
        </r>
      </text>
    </comment>
    <comment ref="AA177" authorId="0" shapeId="0" xr:uid="{00000000-0006-0000-0E00-0000BD000000}">
      <text>
        <r>
          <rPr>
            <sz val="8"/>
            <color rgb="FF000000"/>
            <rFont val="Tahoma"/>
            <family val="2"/>
          </rPr>
          <t>163</t>
        </r>
      </text>
    </comment>
    <comment ref="AA178" authorId="0" shapeId="0" xr:uid="{00000000-0006-0000-0E00-0000BE000000}">
      <text>
        <r>
          <rPr>
            <sz val="8"/>
            <color rgb="FF000000"/>
            <rFont val="Tahoma"/>
            <family val="2"/>
          </rPr>
          <t>150</t>
        </r>
      </text>
    </comment>
    <comment ref="AA179" authorId="0" shapeId="0" xr:uid="{00000000-0006-0000-0E00-0000BF000000}">
      <text>
        <r>
          <rPr>
            <sz val="8"/>
            <color rgb="FF000000"/>
            <rFont val="Tahoma"/>
            <family val="2"/>
          </rPr>
          <t>172</t>
        </r>
      </text>
    </comment>
    <comment ref="AA180" authorId="0" shapeId="0" xr:uid="{00000000-0006-0000-0E00-0000C0000000}">
      <text>
        <r>
          <rPr>
            <sz val="8"/>
            <color rgb="FF000000"/>
            <rFont val="Tahoma"/>
            <family val="2"/>
          </rPr>
          <t>154</t>
        </r>
      </text>
    </comment>
    <comment ref="AA181" authorId="0" shapeId="0" xr:uid="{00000000-0006-0000-0E00-0000C1000000}">
      <text>
        <r>
          <rPr>
            <sz val="8"/>
            <color rgb="FF000000"/>
            <rFont val="Tahoma"/>
            <family val="2"/>
          </rPr>
          <t>165</t>
        </r>
      </text>
    </comment>
    <comment ref="AA182" authorId="0" shapeId="0" xr:uid="{00000000-0006-0000-0E00-0000C2000000}">
      <text>
        <r>
          <rPr>
            <sz val="8"/>
            <color rgb="FF000000"/>
            <rFont val="Tahoma"/>
            <family val="2"/>
          </rPr>
          <t>161</t>
        </r>
      </text>
    </comment>
    <comment ref="AA183" authorId="0" shapeId="0" xr:uid="{00000000-0006-0000-0E00-0000C3000000}">
      <text>
        <r>
          <rPr>
            <sz val="8"/>
            <color rgb="FF000000"/>
            <rFont val="Tahoma"/>
            <family val="2"/>
          </rPr>
          <t>149</t>
        </r>
      </text>
    </comment>
    <comment ref="AA184" authorId="0" shapeId="0" xr:uid="{00000000-0006-0000-0E00-0000C4000000}">
      <text>
        <r>
          <rPr>
            <sz val="8"/>
            <color rgb="FF000000"/>
            <rFont val="Tahoma"/>
            <family val="2"/>
          </rPr>
          <t>153</t>
        </r>
      </text>
    </comment>
    <comment ref="AA185" authorId="0" shapeId="0" xr:uid="{00000000-0006-0000-0E00-0000C5000000}">
      <text>
        <r>
          <rPr>
            <sz val="8"/>
            <color rgb="FF000000"/>
            <rFont val="Tahoma"/>
            <family val="2"/>
          </rPr>
          <t>152</t>
        </r>
      </text>
    </comment>
    <comment ref="AA186" authorId="0" shapeId="0" xr:uid="{00000000-0006-0000-0E00-0000C6000000}">
      <text>
        <r>
          <rPr>
            <sz val="8"/>
            <color rgb="FF000000"/>
            <rFont val="Tahoma"/>
            <family val="2"/>
          </rPr>
          <t>166</t>
        </r>
      </text>
    </comment>
    <comment ref="AA187" authorId="0" shapeId="0" xr:uid="{00000000-0006-0000-0E00-0000C7000000}">
      <text>
        <r>
          <rPr>
            <sz val="8"/>
            <color rgb="FF000000"/>
            <rFont val="Tahoma"/>
            <family val="2"/>
          </rPr>
          <t>188</t>
        </r>
      </text>
    </comment>
    <comment ref="AA188" authorId="0" shapeId="0" xr:uid="{00000000-0006-0000-0E00-0000C8000000}">
      <text>
        <r>
          <rPr>
            <sz val="8"/>
            <color rgb="FF000000"/>
            <rFont val="Tahoma"/>
            <family val="2"/>
          </rPr>
          <t>157</t>
        </r>
      </text>
    </comment>
    <comment ref="AA189" authorId="0" shapeId="0" xr:uid="{00000000-0006-0000-0E00-0000C9000000}">
      <text>
        <r>
          <rPr>
            <sz val="8"/>
            <color rgb="FF000000"/>
            <rFont val="Tahoma"/>
            <family val="2"/>
          </rPr>
          <t>159</t>
        </r>
      </text>
    </comment>
    <comment ref="AA190" authorId="0" shapeId="0" xr:uid="{00000000-0006-0000-0E00-0000CA000000}">
      <text>
        <r>
          <rPr>
            <sz val="8"/>
            <color rgb="FF000000"/>
            <rFont val="Tahoma"/>
            <family val="2"/>
          </rPr>
          <t>148</t>
        </r>
      </text>
    </comment>
    <comment ref="AA191" authorId="0" shapeId="0" xr:uid="{00000000-0006-0000-0E00-0000CB000000}">
      <text>
        <r>
          <rPr>
            <sz val="8"/>
            <color rgb="FF000000"/>
            <rFont val="Tahoma"/>
            <family val="2"/>
          </rPr>
          <t>147</t>
        </r>
      </text>
    </comment>
    <comment ref="AA192" authorId="0" shapeId="0" xr:uid="{00000000-0006-0000-0E00-0000CC000000}">
      <text>
        <r>
          <rPr>
            <sz val="8"/>
            <color rgb="FF000000"/>
            <rFont val="Tahoma"/>
            <family val="2"/>
          </rPr>
          <t>164</t>
        </r>
      </text>
    </comment>
    <comment ref="AA193" authorId="0" shapeId="0" xr:uid="{00000000-0006-0000-0E00-0000CD000000}">
      <text>
        <r>
          <rPr>
            <sz val="8"/>
            <color rgb="FF000000"/>
            <rFont val="Tahoma"/>
            <family val="2"/>
          </rPr>
          <t>171</t>
        </r>
      </text>
    </comment>
    <comment ref="AA194" authorId="0" shapeId="0" xr:uid="{00000000-0006-0000-0E00-0000CE000000}">
      <text>
        <r>
          <rPr>
            <sz val="8"/>
            <color rgb="FF000000"/>
            <rFont val="Tahoma"/>
            <family val="2"/>
          </rPr>
          <t>158</t>
        </r>
      </text>
    </comment>
    <comment ref="AA195" authorId="0" shapeId="0" xr:uid="{00000000-0006-0000-0E00-0000CF000000}">
      <text>
        <r>
          <rPr>
            <sz val="8"/>
            <color rgb="FF000000"/>
            <rFont val="Tahoma"/>
            <family val="2"/>
          </rPr>
          <t>168</t>
        </r>
      </text>
    </comment>
    <comment ref="AA196" authorId="0" shapeId="0" xr:uid="{00000000-0006-0000-0E00-0000D0000000}">
      <text>
        <r>
          <rPr>
            <sz val="8"/>
            <color rgb="FF000000"/>
            <rFont val="Tahoma"/>
            <family val="2"/>
          </rPr>
          <t>170</t>
        </r>
      </text>
    </comment>
    <comment ref="AA197" authorId="0" shapeId="0" xr:uid="{00000000-0006-0000-0E00-0000D1000000}">
      <text>
        <r>
          <rPr>
            <sz val="8"/>
            <color rgb="FF000000"/>
            <rFont val="Tahoma"/>
            <family val="2"/>
          </rPr>
          <t>169</t>
        </r>
      </text>
    </comment>
    <comment ref="AA198" authorId="0" shapeId="0" xr:uid="{00000000-0006-0000-0E00-0000D2000000}">
      <text>
        <r>
          <rPr>
            <sz val="8"/>
            <color rgb="FF000000"/>
            <rFont val="Tahoma"/>
            <family val="2"/>
          </rPr>
          <t>167</t>
        </r>
      </text>
    </comment>
    <comment ref="AA199" authorId="0" shapeId="0" xr:uid="{00000000-0006-0000-0E00-0000D3000000}">
      <text>
        <r>
          <rPr>
            <sz val="8"/>
            <color rgb="FF000000"/>
            <rFont val="Tahoma"/>
            <family val="2"/>
          </rPr>
          <t>162</t>
        </r>
      </text>
    </comment>
    <comment ref="AA200" authorId="0" shapeId="0" xr:uid="{00000000-0006-0000-0E00-0000D4000000}">
      <text>
        <r>
          <rPr>
            <sz val="8"/>
            <color rgb="FF000000"/>
            <rFont val="Tahoma"/>
            <family val="2"/>
          </rPr>
          <t>174</t>
        </r>
      </text>
    </comment>
    <comment ref="AA201" authorId="0" shapeId="0" xr:uid="{00000000-0006-0000-0E00-0000D5000000}">
      <text>
        <r>
          <rPr>
            <sz val="8"/>
            <color rgb="FF000000"/>
            <rFont val="Tahoma"/>
            <family val="2"/>
          </rPr>
          <t>151</t>
        </r>
      </text>
    </comment>
  </commentList>
</comments>
</file>

<file path=xl/sharedStrings.xml><?xml version="1.0" encoding="utf-8"?>
<sst xmlns="http://schemas.openxmlformats.org/spreadsheetml/2006/main" count="2220" uniqueCount="1196">
  <si>
    <t>Tender Information</t>
  </si>
  <si>
    <t>Tender Number</t>
  </si>
  <si>
    <t>TM-24-1339</t>
  </si>
  <si>
    <t>Contract Number</t>
  </si>
  <si>
    <t>Title</t>
  </si>
  <si>
    <t>Industrial Plant Cleaning Services</t>
  </si>
  <si>
    <t>Contract Duration (In Years)</t>
  </si>
  <si>
    <t>Currency</t>
  </si>
  <si>
    <t>USD</t>
  </si>
  <si>
    <t>Category</t>
  </si>
  <si>
    <t>Services</t>
  </si>
  <si>
    <t xml:space="preserve">Asset </t>
  </si>
  <si>
    <t>Oman LNG</t>
  </si>
  <si>
    <t>Investment Applicable</t>
  </si>
  <si>
    <t>Workforce Applicable</t>
  </si>
  <si>
    <t>Goods Applicable</t>
  </si>
  <si>
    <t>Services Applicable</t>
  </si>
  <si>
    <t>Indirect ICV Element Applicable</t>
  </si>
  <si>
    <t>Department</t>
  </si>
  <si>
    <t>Uploader Bidder Name</t>
  </si>
  <si>
    <t xml:space="preserve">Table A  - Investment </t>
  </si>
  <si>
    <t>ICV Terminologies/Definitions</t>
  </si>
  <si>
    <r>
      <rPr>
        <b/>
        <sz val="11"/>
        <color rgb="FF000000"/>
        <rFont val="Calibri"/>
        <family val="2"/>
      </rPr>
      <t xml:space="preserve">“Capital Investment in Fixed Assets” </t>
    </r>
    <r>
      <rPr>
        <sz val="11"/>
        <color rgb="FF000000"/>
        <rFont val="Calibri"/>
        <family val="2"/>
      </rPr>
      <t>means investments in fixed assets related to O&amp;G industry in Oman, that are not charged directly to the client in whole or in part and related to the execution of this specific contract scope.   This may include manufacturing facilities, service facilities, logistics-related facilities, repair and maintenance facilities, construction/refurbishment, research establishments etc. Excluded is any other new investment or existing that does not relate to contract scope.</t>
    </r>
  </si>
  <si>
    <r>
      <rPr>
        <sz val="11"/>
        <color theme="1"/>
        <rFont val="Calibri"/>
        <family val="2"/>
      </rPr>
      <t>1.</t>
    </r>
    <r>
      <rPr>
        <sz val="11"/>
        <color rgb="FF000000"/>
        <rFont val="Calibri"/>
        <family val="2"/>
      </rPr>
      <t>Table A for Investment is split into 2 Tables as follows:</t>
    </r>
  </si>
  <si>
    <r>
      <rPr>
        <sz val="11"/>
        <color theme="1"/>
        <rFont val="Calibri"/>
        <family val="2"/>
      </rPr>
      <t>a.</t>
    </r>
    <r>
      <rPr>
        <sz val="11"/>
        <color rgb="FF000000"/>
        <rFont val="Calibri"/>
        <family val="2"/>
      </rPr>
      <t xml:space="preserve">Table A1: New/Furture fixed investment planned to be invested in Oman related to O&amp;G sector that directly  utilized in the execution/utilization to deliver this specific contract scope. </t>
    </r>
  </si>
  <si>
    <r>
      <rPr>
        <sz val="11"/>
        <color theme="1"/>
        <rFont val="Calibri"/>
        <family val="2"/>
      </rPr>
      <t>b.</t>
    </r>
    <r>
      <rPr>
        <sz val="11"/>
        <color rgb="FF000000"/>
        <rFont val="Calibri"/>
        <family val="2"/>
      </rPr>
      <t>Table A2: Existing investment previously invested in Oman that supports execution of the contract scope.</t>
    </r>
  </si>
  <si>
    <t>For both Tables A1&amp;A2, the following shall apply:</t>
  </si>
  <si>
    <r>
      <rPr>
        <sz val="11"/>
        <color theme="1"/>
        <rFont val="Calibri"/>
        <family val="2"/>
      </rPr>
      <t>1.</t>
    </r>
    <r>
      <rPr>
        <sz val="11"/>
        <color rgb="FF000000"/>
        <rFont val="Calibri"/>
        <family val="2"/>
      </rPr>
      <t>All the values in both tables above A1 and A2 shall be in USD currency.</t>
    </r>
  </si>
  <si>
    <r>
      <rPr>
        <sz val="11"/>
        <color theme="1"/>
        <rFont val="Calibri"/>
        <family val="2"/>
      </rPr>
      <t>2. Fixed Assets funded by C</t>
    </r>
    <r>
      <rPr>
        <sz val="11"/>
        <color rgb="FF000000"/>
        <rFont val="Calibri"/>
        <family val="2"/>
      </rPr>
      <t>lient company or others shall be EXCLUDED (i.e. Contractor must fund the investment)</t>
    </r>
  </si>
  <si>
    <r>
      <rPr>
        <sz val="11"/>
        <color theme="1"/>
        <rFont val="Calibri"/>
        <family val="2"/>
      </rPr>
      <t>3. Futrue fixed Assets funded by C</t>
    </r>
    <r>
      <rPr>
        <sz val="11"/>
        <color rgb="FF000000"/>
        <rFont val="Calibri"/>
        <family val="2"/>
      </rPr>
      <t>lient company and already regsitered with other O&amp;G opreatros shall be REGISTERED as existing investment.</t>
    </r>
  </si>
  <si>
    <t>4. Fixed Assets substantially used  (more than 50%) for purposes outside the scope of the Contract shall be excluded (e.g. new headquarters building allowing for future growth) shall be EXCLUDED</t>
  </si>
  <si>
    <t xml:space="preserve">E.g: Contract related to provision of technical equipment, the bidder shall list only investment in fixed assets such as manufacturing/repairing of that equipment but not investment required to support in delivering the scope of the contract such as Offices or delivery trucks. </t>
  </si>
  <si>
    <r>
      <rPr>
        <sz val="11"/>
        <color theme="1"/>
        <rFont val="+mj-lt"/>
        <family val="2"/>
      </rPr>
      <t>2.</t>
    </r>
    <r>
      <rPr>
        <b/>
        <u/>
        <sz val="11"/>
        <color rgb="FF000000"/>
        <rFont val="Calibri"/>
        <family val="2"/>
      </rPr>
      <t>Table A1</t>
    </r>
    <r>
      <rPr>
        <sz val="11"/>
        <color rgb="FF000000"/>
        <rFont val="Calibri"/>
        <family val="2"/>
      </rPr>
      <t>: Bidder/Contractor shall update all investment planned to be invested in  Oman related to the execution/utilization to deliver this specific contract scope as follows:</t>
    </r>
  </si>
  <si>
    <r>
      <rPr>
        <sz val="11"/>
        <color theme="1"/>
        <rFont val="+mj-lt"/>
        <family val="2"/>
      </rPr>
      <t>a.</t>
    </r>
    <r>
      <rPr>
        <sz val="11"/>
        <color rgb="FF000000"/>
        <rFont val="Calibri"/>
        <family val="2"/>
      </rPr>
      <t>Summary Description: The manufacturing types  such as Workshops, new plant, etc. with detailed description including location: To name the location area where the facility planned to be built  e.g.: Nizwa Industrial Area, Sohar Free Zone.</t>
    </r>
  </si>
  <si>
    <r>
      <rPr>
        <sz val="11"/>
        <color theme="1"/>
        <rFont val="+mj-lt"/>
        <family val="2"/>
      </rPr>
      <t>b. Planned completion/operational date from award of the contract: B</t>
    </r>
    <r>
      <rPr>
        <sz val="11"/>
        <color rgb="FF000000"/>
        <rFont val="Calibri"/>
        <family val="2"/>
      </rPr>
      <t xml:space="preserve">idder shall advise when the Fixed Asset is ancipated to open and become operational (i.e. construction/investment is completed). This should be completed from the Commencement Date of the Contract, e.g. if the new Fixed Asset will take 3 years to complete after the Contract is awarded, enter "Year 3". </t>
    </r>
  </si>
  <si>
    <r>
      <rPr>
        <sz val="11"/>
        <color theme="1"/>
        <rFont val="+mj-lt"/>
        <family val="2"/>
      </rPr>
      <t>c.</t>
    </r>
    <r>
      <rPr>
        <sz val="11"/>
        <color rgb="FF000000"/>
        <rFont val="Calibri"/>
        <family val="2"/>
      </rPr>
      <t xml:space="preserve">Location area: e,g 20,000 sqm and the built up area: e.g 5,000 sqm  </t>
    </r>
  </si>
  <si>
    <r>
      <rPr>
        <sz val="11"/>
        <color theme="1"/>
        <rFont val="+mj-lt"/>
        <family val="2"/>
      </rPr>
      <t>d.</t>
    </r>
    <r>
      <rPr>
        <sz val="11"/>
        <color rgb="FF000000"/>
        <rFont val="Calibri"/>
        <family val="2"/>
      </rPr>
      <t>Facility design (if available),</t>
    </r>
  </si>
  <si>
    <r>
      <rPr>
        <sz val="11"/>
        <color theme="1"/>
        <rFont val="+mj-lt"/>
        <family val="2"/>
      </rPr>
      <t>e.</t>
    </r>
    <r>
      <rPr>
        <sz val="11"/>
        <color rgb="FF000000"/>
        <rFont val="Calibri"/>
        <family val="2"/>
      </rPr>
      <t>List the equipment and machines to be installed in the manufacturing/repairing workshops.</t>
    </r>
  </si>
  <si>
    <r>
      <rPr>
        <sz val="11"/>
        <color theme="1"/>
        <rFont val="+mj-lt"/>
        <family val="2"/>
      </rPr>
      <t>f.</t>
    </r>
    <r>
      <rPr>
        <sz val="11"/>
        <color rgb="FF000000"/>
        <rFont val="Calibri"/>
        <family val="2"/>
      </rPr>
      <t>Estimated jobs created as a result of the facility set-up.</t>
    </r>
  </si>
  <si>
    <r>
      <rPr>
        <b/>
        <u/>
        <sz val="11"/>
        <color rgb="FF000000"/>
        <rFont val="Calibri"/>
        <family val="2"/>
      </rPr>
      <t xml:space="preserve">3.      Table A2: </t>
    </r>
    <r>
      <rPr>
        <u/>
        <sz val="11"/>
        <color rgb="FF000000"/>
        <rFont val="Calibri"/>
        <family val="2"/>
      </rPr>
      <t>Bidder/Contractor shall include all EXISTING investment in Fixed Assets already invested in Oman related to the execution/utilization to deliver this specific contract scope as follows:</t>
    </r>
  </si>
  <si>
    <r>
      <rPr>
        <sz val="11"/>
        <color theme="1"/>
        <rFont val="+mj-lt"/>
        <family val="2"/>
      </rPr>
      <t xml:space="preserve">a. </t>
    </r>
    <r>
      <rPr>
        <sz val="11"/>
        <color rgb="FF000000"/>
        <rFont val="Calibri"/>
        <family val="2"/>
      </rPr>
      <t>Summary Description: The manufacturing types  such as Workshops, new plant, etc.</t>
    </r>
  </si>
  <si>
    <r>
      <rPr>
        <sz val="11"/>
        <color theme="1"/>
        <rFont val="+mj-lt"/>
        <family val="2"/>
      </rPr>
      <t>b.</t>
    </r>
    <r>
      <rPr>
        <sz val="11"/>
        <color rgb="FF000000"/>
        <rFont val="Calibri"/>
        <family val="2"/>
      </rPr>
      <t xml:space="preserve"> Location: location area where the facility is already in operationalize. E.g Duqum Industrial Area, Samail Free Zone.</t>
    </r>
  </si>
  <si>
    <r>
      <rPr>
        <sz val="11"/>
        <color theme="1"/>
        <rFont val="+mj-lt"/>
        <family val="2"/>
      </rPr>
      <t xml:space="preserve">c. </t>
    </r>
    <r>
      <rPr>
        <sz val="11"/>
        <color rgb="FF000000"/>
        <rFont val="Calibri"/>
        <family val="2"/>
      </rPr>
      <t>Year Invested: Bidder/Contractor shall list the year in which the investment started opened/commenced operations.</t>
    </r>
  </si>
  <si>
    <t>d. Investments made more than 10 years ago shall be EXCLUDED from this table</t>
  </si>
  <si>
    <t xml:space="preserve">Table B - Work Force </t>
  </si>
  <si>
    <r>
      <rPr>
        <b/>
        <sz val="11"/>
        <color rgb="FF000000"/>
        <rFont val="Calibri"/>
        <family val="2"/>
      </rPr>
      <t>1. Table B1:</t>
    </r>
    <r>
      <rPr>
        <sz val="11"/>
        <color rgb="FF000000"/>
        <rFont val="Calibri"/>
        <family val="2"/>
      </rPr>
      <t xml:space="preserve"> Bidder/Contractor shall update all WORKFORCE related to execution of over the contract period (years). </t>
    </r>
  </si>
  <si>
    <r>
      <rPr>
        <b/>
        <sz val="11"/>
        <color rgb="FF000000"/>
        <rFont val="Calibri"/>
        <family val="2"/>
      </rPr>
      <t>2.T</t>
    </r>
    <r>
      <rPr>
        <b/>
        <u/>
        <sz val="11"/>
        <color rgb="FF000000"/>
        <rFont val="Calibri"/>
        <family val="2"/>
      </rPr>
      <t>able B2</t>
    </r>
    <r>
      <rPr>
        <sz val="11"/>
        <color rgb="FF000000"/>
        <rFont val="Calibri"/>
        <family val="2"/>
      </rPr>
      <t xml:space="preserve">: Bidder/Contractor shall update all WORKFORCE related to Main Contractor ONLY listed under MOL at the time of bidding. </t>
    </r>
  </si>
  <si>
    <t>Note - Only Table B2 relates to Contractors' total workforce, Tables B1 and B3 relate to workforce under this Contract ONLY.</t>
  </si>
  <si>
    <t xml:space="preserve">The number reflected should meet the total quantity and Omanisation percentage of workforce required, contractor can update </t>
  </si>
  <si>
    <r>
      <rPr>
        <sz val="11"/>
        <color theme="1"/>
        <rFont val="Calibri"/>
        <family val="2"/>
      </rPr>
      <t>3.</t>
    </r>
    <r>
      <rPr>
        <b/>
        <u/>
        <sz val="11"/>
        <color rgb="FF000000"/>
        <rFont val="Calibri"/>
        <family val="2"/>
      </rPr>
      <t>Table B3</t>
    </r>
    <r>
      <rPr>
        <sz val="11"/>
        <color rgb="FF000000"/>
        <rFont val="Calibri"/>
        <family val="2"/>
      </rPr>
      <t xml:space="preserve">: Bidder/Contractor shall update all WORKFORCE related to execution of this specific contract duration by Main/Lead Contractor or Sub- Contractor by distributing workforce over the contract period (years). </t>
    </r>
  </si>
  <si>
    <r>
      <rPr>
        <b/>
        <sz val="11"/>
        <color rgb="FF000000"/>
        <rFont val="Calibri"/>
        <family val="2"/>
      </rPr>
      <t xml:space="preserve">Note: </t>
    </r>
    <r>
      <rPr>
        <sz val="11"/>
        <color rgb="FF000000"/>
        <rFont val="Calibri"/>
        <family val="2"/>
      </rPr>
      <t>A) The Table can be customized to fit the contract duration.</t>
    </r>
  </si>
  <si>
    <t xml:space="preserve">             B) Year 2+ total :  The updated quantity of workforce required to deliver under the Contract for each year, according to changes necessary based on demand/scope. </t>
  </si>
  <si>
    <r>
      <rPr>
        <sz val="11"/>
        <color theme="1"/>
        <rFont val="Calibri"/>
        <family val="2"/>
      </rPr>
      <t>1.</t>
    </r>
    <r>
      <rPr>
        <b/>
        <u/>
        <sz val="11"/>
        <color rgb="FF000000"/>
        <rFont val="Calibri"/>
        <family val="2"/>
      </rPr>
      <t>HD stands for Headcount:</t>
    </r>
    <r>
      <rPr>
        <u/>
        <sz val="11"/>
        <color rgb="FF000000"/>
        <rFont val="Calibri"/>
        <family val="2"/>
      </rPr>
      <t xml:space="preserve"> </t>
    </r>
    <r>
      <rPr>
        <sz val="11"/>
        <color rgb="FF000000"/>
        <rFont val="Calibri"/>
        <family val="2"/>
      </rPr>
      <t>“Headcount” means the number of full-time and part-time equivalent employees or in-house contractors/agency staff within the Contractor or Sub-Contractor organization who will be involved in the execution of the Contract. </t>
    </r>
  </si>
  <si>
    <r>
      <rPr>
        <sz val="11"/>
        <color theme="1"/>
        <rFont val="Calibri"/>
        <family val="2"/>
      </rPr>
      <t>2.</t>
    </r>
    <r>
      <rPr>
        <b/>
        <u/>
        <sz val="11"/>
        <color rgb="FF000000"/>
        <rFont val="Calibri"/>
        <family val="2"/>
      </rPr>
      <t>MH stands for Man-hours:</t>
    </r>
    <r>
      <rPr>
        <sz val="11"/>
        <color rgb="FF000000"/>
        <rFont val="Calibri"/>
        <family val="2"/>
      </rPr>
      <t xml:space="preserve"> “Man-hours” means the number of hours of work undertaken in execution of the Contract (only the actual hours written, or to be written, to Contract execution are included).</t>
    </r>
  </si>
  <si>
    <t> The method of calculation and reporting is as follows;</t>
  </si>
  <si>
    <t xml:space="preserve">MH= Contract Duration x number of headcount of that category </t>
  </si>
  <si>
    <t>For example, contract awarded for a period of 4 years, with 2 professional resources working full time on the execution of the contract:</t>
  </si>
  <si>
    <t>4 years x 12 months x 30 days x 8 hours x 2 professionals = 23,040 Manhours</t>
  </si>
  <si>
    <r>
      <rPr>
        <b/>
        <u/>
        <sz val="11"/>
        <color rgb="FF000000"/>
        <rFont val="Calibri"/>
        <family val="2"/>
      </rPr>
      <t>3.   CP stands for Compensation:</t>
    </r>
    <r>
      <rPr>
        <u/>
        <sz val="11"/>
        <color rgb="FF000000"/>
        <rFont val="Calibri"/>
        <family val="2"/>
      </rPr>
      <t xml:space="preserve"> "Compensation" means the sum of Man-hours multiplied by associated All-Inclusive Average Hourly Rate, as declared in the Contractor Execution ICV Plan. Where contracts are to be paid in Omani Rials (“OMR”), then the Execution ICV Plan shall be calculated in United States Dollars ($) at the rate of OMR1 = USD $2.60</t>
    </r>
  </si>
  <si>
    <t>The currency shall be in USD. </t>
  </si>
  <si>
    <t>For example, contract listed the 2 headcount Professional as Drilling Engineer and Chemical Engineer with a monthly salary of $2,000 and $1,800 respectively. The total monthly salary shall be inclusive of PASI and other permanent allowances such Housing and Transport allowance.</t>
  </si>
  <si>
    <t>The formula to calculate the average hourly compensation rate will be as follows:</t>
  </si>
  <si>
    <t>Drilling Engineer Monthly salary divided by man-hours working per month: 2000 USD / (22 days x 8 hours)= 11.4 USD as hourly rate</t>
  </si>
  <si>
    <t>Chemical Engineer Monthly salary divided by man-hours working per  month: 1,800 USD / (30 days x 8 hours)= 7.5 USD as hourly rate</t>
  </si>
  <si>
    <t>Total hourly rate for both resources = 11.4+7.5= 18.9</t>
  </si>
  <si>
    <t>Average hourly rate for both resources =18.9/2= 9.5</t>
  </si>
  <si>
    <t>The compensation per hour as calculated above to be included shall 9.5 USD/hour</t>
  </si>
  <si>
    <r>
      <rPr>
        <sz val="11"/>
        <color theme="1"/>
        <rFont val="Calibri"/>
        <family val="2"/>
      </rPr>
      <t>1.</t>
    </r>
    <r>
      <rPr>
        <b/>
        <u/>
        <sz val="11"/>
        <color rgb="FF000000"/>
        <rFont val="Calibri"/>
        <family val="2"/>
      </rPr>
      <t>"Contractor"</t>
    </r>
    <r>
      <rPr>
        <sz val="11"/>
        <color rgb="FF000000"/>
        <rFont val="Calibri"/>
        <family val="2"/>
      </rPr>
      <t xml:space="preserve"> means a first tier vendor invited to bid for a specified Contract with the Operating Company and involved in Contract Execution </t>
    </r>
  </si>
  <si>
    <r>
      <rPr>
        <sz val="11"/>
        <color theme="1"/>
        <rFont val="Calibri"/>
        <family val="2"/>
      </rPr>
      <t>2.</t>
    </r>
    <r>
      <rPr>
        <b/>
        <u/>
        <sz val="11"/>
        <color rgb="FF000000"/>
        <rFont val="Calibri"/>
        <family val="2"/>
      </rPr>
      <t>"Sub-Contractor"</t>
    </r>
    <r>
      <rPr>
        <sz val="11"/>
        <color rgb="FF000000"/>
        <rFont val="Calibri"/>
        <family val="2"/>
      </rPr>
      <t xml:space="preserve"> means a sub-contractor, supplier or partner/alliance company that provides services or goods to the Contractor under the  contract.</t>
    </r>
  </si>
  <si>
    <r>
      <rPr>
        <sz val="11"/>
        <color theme="1"/>
        <rFont val="Calibri"/>
        <family val="2"/>
      </rPr>
      <t>3.</t>
    </r>
    <r>
      <rPr>
        <b/>
        <u/>
        <sz val="11"/>
        <color rgb="FF000000"/>
        <rFont val="Calibri"/>
        <family val="2"/>
      </rPr>
      <t>OM stand for Omani: “Omani National”</t>
    </r>
    <r>
      <rPr>
        <sz val="11"/>
        <color rgb="FF000000"/>
        <rFont val="Calibri"/>
        <family val="2"/>
      </rPr>
      <t xml:space="preserve"> means holders of Omani citizenship.</t>
    </r>
  </si>
  <si>
    <r>
      <rPr>
        <sz val="11"/>
        <color theme="1"/>
        <rFont val="Calibri"/>
        <family val="2"/>
      </rPr>
      <t>4.</t>
    </r>
    <r>
      <rPr>
        <b/>
        <sz val="11"/>
        <color theme="1"/>
        <rFont val="Calibri"/>
        <family val="2"/>
      </rPr>
      <t xml:space="preserve">EXP stands for Expert: "Expat Direct/In-House Contractor" </t>
    </r>
    <r>
      <rPr>
        <sz val="11"/>
        <color theme="1"/>
        <rFont val="Calibri"/>
        <family val="2"/>
      </rPr>
      <t xml:space="preserve">means non-holder of Omani Citizenship </t>
    </r>
  </si>
  <si>
    <r>
      <rPr>
        <b/>
        <sz val="11"/>
        <color theme="1"/>
        <rFont val="Calibri"/>
        <family val="2"/>
      </rPr>
      <t>5."Involved in Contract Execution,"</t>
    </r>
    <r>
      <rPr>
        <sz val="11"/>
        <color theme="1"/>
        <rFont val="Calibri"/>
        <family val="2"/>
      </rPr>
      <t xml:space="preserve"> means that, and only that, contracted or sub-contracted labor contributing directly to delivery of the associated contract, and no other manpower resource in the Contractor's or Sub-Contractor's total workforce that may be allocated to different contracts.  The aim is to avoid double counting of National manhours where the same individual is assigned to more than one contract at a time.</t>
    </r>
  </si>
  <si>
    <t>JOB POSITIONS</t>
  </si>
  <si>
    <r>
      <rPr>
        <sz val="11"/>
        <color theme="1"/>
        <rFont val="Calibri"/>
        <family val="2"/>
      </rPr>
      <t>6.</t>
    </r>
    <r>
      <rPr>
        <b/>
        <u/>
        <sz val="11"/>
        <color theme="1"/>
        <rFont val="Calibri"/>
        <family val="2"/>
      </rPr>
      <t>"Senior Management"</t>
    </r>
    <r>
      <rPr>
        <sz val="11"/>
        <color theme="1"/>
        <rFont val="Calibri"/>
        <family val="2"/>
      </rPr>
      <t xml:space="preserve"> means a member of the decision-making executive of a function within Contractor or Sub-Contractor organization.</t>
    </r>
  </si>
  <si>
    <r>
      <rPr>
        <b/>
        <u/>
        <sz val="11"/>
        <color theme="1"/>
        <rFont val="Calibri"/>
        <family val="2"/>
      </rPr>
      <t>7."Professional"</t>
    </r>
    <r>
      <rPr>
        <sz val="11"/>
        <color theme="1"/>
        <rFont val="Calibri"/>
        <family val="2"/>
      </rPr>
      <t xml:space="preserve"> means an individual who has completed related tertiary education and achieved status within a professional body. Such personnel include but are not limited to, chartered engineers and accountants, lawyers, architects, procurement professionals. Engineers who are also middle managers should be categorised as “Professional”, not “Supervisory”.</t>
    </r>
  </si>
  <si>
    <r>
      <rPr>
        <b/>
        <u/>
        <sz val="11"/>
        <color theme="1"/>
        <rFont val="Calibri"/>
        <family val="2"/>
      </rPr>
      <t>8."Supervisory"</t>
    </r>
    <r>
      <rPr>
        <sz val="11"/>
        <color theme="1"/>
        <rFont val="Calibri"/>
        <family val="2"/>
      </rPr>
      <t>means a worker who manages a team of at least two (2) subordinates (but who is not considered part of the Senior Management team, nor a Professional). Supervisors include but are not limited to construction foreman, equipment overseers, business administration team leaders, etc. business administration team leaders, etc.</t>
    </r>
  </si>
  <si>
    <r>
      <rPr>
        <b/>
        <u/>
        <sz val="11"/>
        <color theme="1"/>
        <rFont val="Calibri"/>
        <family val="2"/>
      </rPr>
      <t>9."Skilled"</t>
    </r>
    <r>
      <rPr>
        <sz val="11"/>
        <color theme="1"/>
        <rFont val="Calibri"/>
        <family val="2"/>
      </rPr>
      <t xml:space="preserve"> means a worker with a high level of technical expertise accumulated over a number of years (but not a member of a recognised 'profession').  A skilled worker may have attended a Technical College or learned their skill via a formal apprenticeship or on-the-job over a number of years.  Includes: electricians, scaffolders, welders, crafts, business admin, personnel assistants, computer programmers, equipment and machinery operators.</t>
    </r>
  </si>
  <si>
    <r>
      <rPr>
        <b/>
        <u/>
        <sz val="11"/>
        <color theme="1"/>
        <rFont val="Calibri"/>
        <family val="2"/>
      </rPr>
      <t>10."“Semi-skilled”</t>
    </r>
    <r>
      <rPr>
        <sz val="11"/>
        <color theme="1"/>
        <rFont val="Calibri"/>
        <family val="2"/>
      </rPr>
      <t xml:space="preserve"> means workers with a skill set acquired in a short space of time (a few weeks or months). Following short periods of training a casual labor may become semi-skilled, thus demonstrating how the Contract has contributed to human capacity in Oman.  Semi-skilled positions include secretaries, drivers, meet and greet services, fencing, block laying, basic construction skills etc.</t>
    </r>
  </si>
  <si>
    <r>
      <rPr>
        <b/>
        <u/>
        <sz val="11"/>
        <color theme="1"/>
        <rFont val="Calibri"/>
        <family val="2"/>
      </rPr>
      <t>11.“Existing Employees”</t>
    </r>
    <r>
      <rPr>
        <sz val="11"/>
        <color theme="1"/>
        <rFont val="Calibri"/>
        <family val="2"/>
      </rPr>
      <t xml:space="preserve"> means a staff/worker currently employed with the Bidder/Contractor and planned to be substantially employed (more than 50%) in the delivery / execution of this specific contract and registered under MOM and PASI.</t>
    </r>
  </si>
  <si>
    <r>
      <rPr>
        <sz val="11"/>
        <color theme="1"/>
        <rFont val="Calibri"/>
        <family val="2"/>
      </rPr>
      <t>12.</t>
    </r>
    <r>
      <rPr>
        <b/>
        <u/>
        <sz val="11"/>
        <color rgb="FF000000"/>
        <rFont val="Calibri"/>
        <family val="2"/>
      </rPr>
      <t>“Redeployment”</t>
    </r>
    <r>
      <rPr>
        <sz val="11"/>
        <color rgb="FF000000"/>
        <rFont val="Calibri"/>
        <family val="2"/>
      </rPr>
      <t xml:space="preserve"> means a transfer of Omani personnel (“Omani National Personnel”) from redundant contractor to another contractor having an active contract with Company. This is applicable for full-time employees who are dedicated for the period of the Agreement execution. The data on the ICV Monitoring and Reporting System will be used to verify the submission Agreement execution. The data on the ICV Monitoring and Reporting System will be used to verify the submission.</t>
    </r>
  </si>
  <si>
    <r>
      <rPr>
        <sz val="11"/>
        <color theme="1"/>
        <rFont val="Calibri"/>
        <family val="2"/>
      </rPr>
      <t>13.</t>
    </r>
    <r>
      <rPr>
        <b/>
        <u/>
        <sz val="11"/>
        <color rgb="FF000000"/>
        <rFont val="Calibri"/>
        <family val="2"/>
      </rPr>
      <t>“New Recruit”</t>
    </r>
    <r>
      <rPr>
        <sz val="11"/>
        <color rgb="FF000000"/>
        <rFont val="Calibri"/>
        <family val="2"/>
      </rPr>
      <t xml:space="preserve"> means staff/worker planned to be recruited by Bidder/Contractor after the successful winning the contract and will be part of the workforce to work under their company  and be substantially employed (more than 50%) in the execution of this specific contract duration and registered with MOM and PASI.</t>
    </r>
  </si>
  <si>
    <t xml:space="preserve">Table C - Goods  </t>
  </si>
  <si>
    <r>
      <rPr>
        <b/>
        <u/>
        <sz val="12"/>
        <color rgb="FF000000"/>
        <rFont val="Calibri"/>
        <family val="2"/>
      </rPr>
      <t xml:space="preserve">Table C: </t>
    </r>
    <r>
      <rPr>
        <sz val="12"/>
        <color rgb="FF000000"/>
        <rFont val="Calibri"/>
        <family val="2"/>
      </rPr>
      <t>Bidder/Contractor to fill all Material/Products to be utilized in the execution of the contract scope as per the contract currency.</t>
    </r>
  </si>
  <si>
    <t xml:space="preserve">Bidder/Contractor  shall complete Table C with all MADE IN OMAN materials/ products to be utilized in execution of Contract. </t>
  </si>
  <si>
    <t>Bidder/Contractor shall complete Table C  with NOT MADE IN OMAN materials/products procured through National Registered suppliers to be utilized in execution of Contract.</t>
  </si>
  <si>
    <t>Bidder/Contractor shall complete Table C  with NOT MADE IN OMAN materials/products procured direct from Foreign Company to be utilized in execution of Contract</t>
  </si>
  <si>
    <r>
      <rPr>
        <sz val="12"/>
        <color rgb="FF000000"/>
        <rFont val="Calibri"/>
        <family val="2"/>
      </rPr>
      <t>“</t>
    </r>
    <r>
      <rPr>
        <b/>
        <u/>
        <sz val="12"/>
        <color rgb="FF000000"/>
        <rFont val="Calibri"/>
        <family val="2"/>
      </rPr>
      <t>Made-in-Oman good”</t>
    </r>
    <r>
      <rPr>
        <sz val="12"/>
        <color rgb="FF000000"/>
        <rFont val="Calibri"/>
        <family val="2"/>
      </rPr>
      <t xml:space="preserve"> – means any product, material or equipment that has the Made in Oman Certification issued by the Ministry of Commerce, Industry and Investment Promotion and Public Establishment For Industrial Estates (“Madayn”).</t>
    </r>
  </si>
  <si>
    <r>
      <rPr>
        <b/>
        <u/>
        <sz val="12"/>
        <color rgb="FF000000"/>
        <rFont val="Calibri"/>
        <family val="2"/>
      </rPr>
      <t xml:space="preserve">“Nationally Registered Supplier (NRS) ” : </t>
    </r>
    <r>
      <rPr>
        <sz val="12"/>
        <color rgb="FF000000"/>
        <rFont val="Calibri"/>
        <family val="2"/>
      </rPr>
      <t>means a supplier of goods and services that is a Company, subsidiary or branch incorporated under Omani law in Oman and/or registered to operate in Oman under a renewable license; and whose offices or facilities associated with producing manufactured or assembled goods or providing services to the Company are located in the Sultanate of Oman.</t>
    </r>
  </si>
  <si>
    <r>
      <rPr>
        <b/>
        <u/>
        <sz val="12"/>
        <color rgb="FF000000"/>
        <rFont val="Calibri"/>
        <family val="2"/>
      </rPr>
      <t xml:space="preserve">“Sub-Contractor/Supplier” : </t>
    </r>
    <r>
      <rPr>
        <sz val="12"/>
        <color rgb="FF000000"/>
        <rFont val="Calibri"/>
        <family val="2"/>
      </rPr>
      <t>means a 2</t>
    </r>
    <r>
      <rPr>
        <vertAlign val="superscript"/>
        <sz val="12"/>
        <color rgb="FF000000"/>
        <rFont val="Calibri"/>
        <family val="2"/>
      </rPr>
      <t>nd</t>
    </r>
    <r>
      <rPr>
        <sz val="12"/>
        <color rgb="FF000000"/>
        <rFont val="Calibri"/>
        <family val="2"/>
      </rPr>
      <t xml:space="preserve"> tier sub-Contractor or supplier, or a partner/alliance Company, who provides services or goods to the main Contractor for utilization in Contract execution. </t>
    </r>
  </si>
  <si>
    <r>
      <rPr>
        <b/>
        <u/>
        <sz val="12"/>
        <color rgb="FF000000"/>
        <rFont val="Calibri"/>
        <family val="2"/>
      </rPr>
      <t xml:space="preserve">“Foreign Registered Supplier (FRS) ”: </t>
    </r>
    <r>
      <rPr>
        <sz val="12"/>
        <color rgb="FF000000"/>
        <rFont val="Calibri"/>
        <family val="2"/>
      </rPr>
      <t xml:space="preserve"> means a supplier of goods or services that is a company, subsidiary or branch not incorporated under Omani law in the Sultanate of Oman and/or registered to operate in the Sultanate of Oman under a renewable license.</t>
    </r>
  </si>
  <si>
    <t>Instuctions:</t>
  </si>
  <si>
    <t>1) Contractor shall ensure any Large/SLCC/SME or LCC subcontractor is categorised as such in the JSRS vendor registration system</t>
  </si>
  <si>
    <t>2) The values in the tables above shall be the value of subcontracts/Purchase Orders placed by the Contractor, i.e. no mark-ups, etc shall be included.</t>
  </si>
  <si>
    <t>3) These tables are for materials only, Equipment shall not be added to the tables above.</t>
  </si>
  <si>
    <t>Examples:</t>
  </si>
  <si>
    <t>1. Procure any materials manufactured in Oman such as cement or cables that will be utilised in the execution of this contract then this should be listed in Table C.</t>
  </si>
  <si>
    <t>2. Procure any materials NOT  manufactured in Oman such as chemical or IT hardware through local agent or National registred suppliers that will be utilised in the execution of this contract then this should be listed in Table C.</t>
  </si>
  <si>
    <t>3. Procure any materials DIRECT from foreign company such as radio active materials or explosive materials  that will be utilised in the execution of this contract then this should be listed in Table C.</t>
  </si>
  <si>
    <t xml:space="preserve">SLCC - Super Local Cimmunity Contractor </t>
  </si>
  <si>
    <t>LCC - Local Community Contractor</t>
  </si>
  <si>
    <t xml:space="preserve">Local Community Contractor shall mean a contractor that is registered in the Joint Supplier Registration System (JSRS) as a Company LCC. For further information on LCC(s), </t>
  </si>
  <si>
    <t>SME - Small Medium Enterprise and below are the criteria for SME's</t>
  </si>
  <si>
    <t xml:space="preserve">Company Size </t>
  </si>
  <si>
    <t>Number of Employees</t>
  </si>
  <si>
    <t>Annual Turnover (R.O.)</t>
  </si>
  <si>
    <t>Micro</t>
  </si>
  <si>
    <t>1 to 10</t>
  </si>
  <si>
    <t>Less than 150,000</t>
  </si>
  <si>
    <t>Small</t>
  </si>
  <si>
    <t>11 to 50</t>
  </si>
  <si>
    <t>From 150,000 to Less Than 1,250,000</t>
  </si>
  <si>
    <t>Medium</t>
  </si>
  <si>
    <t>51 to 150</t>
  </si>
  <si>
    <t xml:space="preserve">From 1,250,000 to Less Than 5,000,000 </t>
  </si>
  <si>
    <t>For more details to identify SME/LCC/SLCC/Large  clasification please refer to Riyada or JSRS</t>
  </si>
  <si>
    <t xml:space="preserve">Table D - Services  </t>
  </si>
  <si>
    <r>
      <rPr>
        <sz val="10"/>
        <color rgb="FF000000"/>
        <rFont val="Arial"/>
        <family val="2"/>
      </rPr>
      <t xml:space="preserve">Contractor shall complete </t>
    </r>
    <r>
      <rPr>
        <b/>
        <sz val="10"/>
        <color rgb="FF000000"/>
        <rFont val="Arial"/>
        <family val="2"/>
      </rPr>
      <t xml:space="preserve">Table D </t>
    </r>
    <r>
      <rPr>
        <sz val="10"/>
        <color rgb="FF000000"/>
        <rFont val="Arial"/>
        <family val="2"/>
      </rPr>
      <t>with the amount in USD paid for services that are to be sourced from</t>
    </r>
    <r>
      <rPr>
        <b/>
        <sz val="10"/>
        <color rgb="FF000000"/>
        <rFont val="Arial"/>
        <family val="2"/>
      </rPr>
      <t xml:space="preserve"> Nationally-Registered Supplier</t>
    </r>
    <r>
      <rPr>
        <sz val="10"/>
        <color rgb="FF000000"/>
        <rFont val="Arial"/>
        <family val="2"/>
      </rPr>
      <t>s through Large,SLCC ,</t>
    </r>
    <r>
      <rPr>
        <b/>
        <sz val="10"/>
        <color rgb="FF000000"/>
        <rFont val="Arial"/>
        <family val="2"/>
      </rPr>
      <t>SME,LCC</t>
    </r>
    <r>
      <rPr>
        <sz val="10"/>
        <color rgb="FF000000"/>
        <rFont val="Arial"/>
        <family val="2"/>
      </rPr>
      <t xml:space="preserve">  or </t>
    </r>
    <r>
      <rPr>
        <b/>
        <sz val="10"/>
        <color rgb="FF000000"/>
        <rFont val="Arial"/>
        <family val="2"/>
      </rPr>
      <t>Foreign Suppliers</t>
    </r>
    <r>
      <rPr>
        <sz val="10"/>
        <color rgb="FF000000"/>
        <rFont val="Arial"/>
        <family val="2"/>
      </rPr>
      <t xml:space="preserve"> for utilisation in execution of the Contract. </t>
    </r>
  </si>
  <si>
    <r>
      <rPr>
        <sz val="11"/>
        <color rgb="FF000000"/>
        <rFont val="Calibri"/>
        <family val="2"/>
      </rPr>
      <t xml:space="preserve">Contractor shall complete table with the amount paid for services that are to be sourced from </t>
    </r>
    <r>
      <rPr>
        <u/>
        <sz val="11"/>
        <color rgb="FF000000"/>
        <rFont val="Calibri"/>
        <family val="2"/>
      </rPr>
      <t>Nationally-Registered Suppliers (NRS)</t>
    </r>
    <r>
      <rPr>
        <sz val="11"/>
        <color rgb="FF000000"/>
        <rFont val="Calibri"/>
        <family val="2"/>
      </rPr>
      <t xml:space="preserve"> or Foreign Suppliers for utilization in execution of the Contract. </t>
    </r>
  </si>
  <si>
    <r>
      <rPr>
        <sz val="11"/>
        <color rgb="FF000000"/>
        <rFont val="Calibri"/>
        <family val="2"/>
      </rPr>
      <t xml:space="preserve">Contractor shall complete with the amount paid for services that are to be sourced DIRECT from </t>
    </r>
    <r>
      <rPr>
        <u/>
        <sz val="11"/>
        <color rgb="FF000000"/>
        <rFont val="Calibri"/>
        <family val="2"/>
      </rPr>
      <t xml:space="preserve">Foreign Companies (FRS) </t>
    </r>
    <r>
      <rPr>
        <sz val="11"/>
        <color rgb="FF000000"/>
        <rFont val="Calibri"/>
        <family val="2"/>
      </rPr>
      <t xml:space="preserve">for utilization in execution of the Contract. </t>
    </r>
  </si>
  <si>
    <r>
      <rPr>
        <b/>
        <u/>
        <sz val="11"/>
        <color theme="1"/>
        <rFont val="Calibri"/>
        <family val="2"/>
      </rPr>
      <t>“Nationally-Registered Supplier (NRS)”</t>
    </r>
    <r>
      <rPr>
        <sz val="11"/>
        <color theme="1"/>
        <rFont val="Calibri"/>
        <family val="2"/>
      </rPr>
      <t xml:space="preserve"> means a supplier of goods and services that is a Company, subsidiary or branch incorporated under Omani law in Oman and/or registered to operate in Oman under a renewable license; and whose offices or facilities associated with producing manufactured or assembled goods or providing services to the Company are located in the Sultanate of Oman.</t>
    </r>
  </si>
  <si>
    <r>
      <rPr>
        <b/>
        <u/>
        <sz val="11"/>
        <color theme="1"/>
        <rFont val="Calibri"/>
        <family val="2"/>
      </rPr>
      <t>“Foreign-Registered Supplier (FRS)”</t>
    </r>
    <r>
      <rPr>
        <sz val="11"/>
        <color theme="1"/>
        <rFont val="Calibri"/>
        <family val="2"/>
      </rPr>
      <t xml:space="preserve"> means a supplier of goods or services that is a company, subsidiary or branch not incorporated under Omani law in the Sultanate of Oman and/or registered to operate in the Sultanate of Oman under a renewable license.</t>
    </r>
  </si>
  <si>
    <t>TM-24-1339 -: Investment  : Fixed Investment related to execution of this specific Contract</t>
  </si>
  <si>
    <t>Key :</t>
  </si>
  <si>
    <t>To be completed by Contractor</t>
  </si>
  <si>
    <t>NOT to be completed by Contractor - auto/formula completion</t>
  </si>
  <si>
    <r>
      <rPr>
        <sz val="11"/>
        <color theme="1"/>
        <rFont val="Calibri"/>
        <family val="2"/>
      </rPr>
      <t xml:space="preserve">To Add new rows to the table, Select the entire last row of the table  and drag it to create the number of new rows required.please </t>
    </r>
    <r>
      <rPr>
        <b/>
        <sz val="11"/>
        <color rgb="FFFF0000"/>
        <rFont val="Calibri"/>
        <family val="2"/>
      </rPr>
      <t>DON'T</t>
    </r>
    <r>
      <rPr>
        <sz val="11"/>
        <color theme="1"/>
        <rFont val="Calibri"/>
        <family val="2"/>
      </rPr>
      <t xml:space="preserve"> insert a new row in the middle of the table.   </t>
    </r>
  </si>
  <si>
    <t xml:space="preserve">Total Future  investment </t>
  </si>
  <si>
    <t xml:space="preserve"> Total Existing investment </t>
  </si>
  <si>
    <t>Investment Type</t>
  </si>
  <si>
    <t>Year of Investment</t>
  </si>
  <si>
    <t>Investment Category</t>
  </si>
  <si>
    <r>
      <rPr>
        <b/>
        <sz val="10"/>
        <color theme="1"/>
        <rFont val="Calibri"/>
        <family val="2"/>
      </rPr>
      <t xml:space="preserve">Summary Description of the investment </t>
    </r>
    <r>
      <rPr>
        <sz val="10"/>
        <color theme="1"/>
        <rFont val="Calibri"/>
        <family val="2"/>
      </rPr>
      <t>(incl. location)</t>
    </r>
  </si>
  <si>
    <t>Value (USD)</t>
  </si>
  <si>
    <t>TM-24-1339 -: WORKFORCE related to execution of this specific contract duration with details of Main/Lead Contractor or Sub- Contractor.</t>
  </si>
  <si>
    <t>Full Contract Duration Workforce</t>
  </si>
  <si>
    <t xml:space="preserve">  Existing Workforce Related to the Execution of this Specific Contract During Execution Period (Full Contract duration)</t>
  </si>
  <si>
    <t>Workforce Category</t>
  </si>
  <si>
    <t>Senior Management</t>
  </si>
  <si>
    <t>Professional</t>
  </si>
  <si>
    <t>Supervisory</t>
  </si>
  <si>
    <t>Skilled/Semi Skilled</t>
  </si>
  <si>
    <t>HD</t>
  </si>
  <si>
    <t>MH</t>
  </si>
  <si>
    <t>CP</t>
  </si>
  <si>
    <t>Contractor</t>
  </si>
  <si>
    <t>Omanis</t>
  </si>
  <si>
    <t>Expatriate</t>
  </si>
  <si>
    <t>Sub-Contractor</t>
  </si>
  <si>
    <t>Total</t>
  </si>
  <si>
    <t xml:space="preserve"> %</t>
  </si>
  <si>
    <t>During Bidding Duration</t>
  </si>
  <si>
    <t>Bidder Total Workforce</t>
  </si>
  <si>
    <t>Summary  Consolidated</t>
  </si>
  <si>
    <t>Existing Employess</t>
  </si>
  <si>
    <t xml:space="preserve">   Redeployment </t>
  </si>
  <si>
    <r>
      <rPr>
        <b/>
        <sz val="11"/>
        <color rgb="FF000000"/>
        <rFont val="Calibri"/>
        <family val="2"/>
      </rPr>
      <t xml:space="preserve">Total Headcount as per </t>
    </r>
    <r>
      <rPr>
        <b/>
        <u/>
        <sz val="11"/>
        <color rgb="FFFF0000"/>
        <rFont val="Calibri"/>
        <family val="2"/>
      </rPr>
      <t xml:space="preserve">MOM </t>
    </r>
  </si>
  <si>
    <t>Omani Percentages %</t>
  </si>
  <si>
    <t>OM</t>
  </si>
  <si>
    <t>EXP</t>
  </si>
  <si>
    <t>%</t>
  </si>
  <si>
    <t>Key:</t>
  </si>
  <si>
    <r>
      <rPr>
        <b/>
        <sz val="11"/>
        <color rgb="FFFF0000"/>
        <rFont val="Calibri"/>
        <family val="2"/>
      </rPr>
      <t xml:space="preserve">To be completed by Contractor </t>
    </r>
    <r>
      <rPr>
        <sz val="11"/>
        <color theme="1"/>
        <rFont val="Calibri"/>
        <family val="2"/>
      </rPr>
      <t>- Updates shall be based on contract duration period.  For example, contract duartion for 2 years then bidders to update the table below for 2  years only.</t>
    </r>
  </si>
  <si>
    <r>
      <rPr>
        <sz val="11"/>
        <color theme="1"/>
        <rFont val="Calibri"/>
        <family val="2"/>
      </rPr>
      <t xml:space="preserve">To Add new rows to the table, Select the entire last row of the table  and drag it to create the number of new rows required.please </t>
    </r>
    <r>
      <rPr>
        <b/>
        <sz val="11"/>
        <color rgb="FFFF0000"/>
        <rFont val="Calibri"/>
        <family val="2"/>
      </rPr>
      <t>DON'T</t>
    </r>
    <r>
      <rPr>
        <sz val="11"/>
        <color theme="1"/>
        <rFont val="Calibri"/>
        <family val="2"/>
      </rPr>
      <t xml:space="preserve"> insert a new row in the middle of the table.</t>
    </r>
  </si>
  <si>
    <t xml:space="preserve"> Workforce Related to the Execution of this Specific Contract During Execution Period (Yearly breakdown)</t>
  </si>
  <si>
    <r>
      <rPr>
        <b/>
        <sz val="12"/>
        <color theme="0" tint="-4.9989318521683403E-2"/>
        <rFont val="Calibri"/>
        <family val="2"/>
      </rPr>
      <t xml:space="preserve">HEADCOUNT AND MANHOURS PER CONTRACT YEAR DURING CONTRACT PERIOD - </t>
    </r>
    <r>
      <rPr>
        <b/>
        <i/>
        <sz val="12"/>
        <color rgb="FFFFC000"/>
        <rFont val="Calibri"/>
        <family val="2"/>
      </rPr>
      <t>CONTRACTOR</t>
    </r>
  </si>
  <si>
    <t>Year</t>
  </si>
  <si>
    <t>Period</t>
  </si>
  <si>
    <t>Skilled/Semi</t>
  </si>
  <si>
    <t>Total  Quartely</t>
  </si>
  <si>
    <t>Total Yearly</t>
  </si>
  <si>
    <t>HeadCount</t>
  </si>
  <si>
    <t>ManHours</t>
  </si>
  <si>
    <t>Compensation per Hour (USD)</t>
  </si>
  <si>
    <t>Year 1</t>
  </si>
  <si>
    <t>Q1</t>
  </si>
  <si>
    <t>Q2</t>
  </si>
  <si>
    <t>Q3</t>
  </si>
  <si>
    <t>Q4</t>
  </si>
  <si>
    <t>Year 2</t>
  </si>
  <si>
    <t>Year 3</t>
  </si>
  <si>
    <t>Year 4</t>
  </si>
  <si>
    <t>Year 5</t>
  </si>
  <si>
    <t>Year 6</t>
  </si>
  <si>
    <t>TM-24-1339 -: Workforce Related to the Execution of this Specific Contract During Execution Period (Yearly breakdown)</t>
  </si>
  <si>
    <t>HEADCOUNT AND MANHOURS PER CONTRACT YEAR DURING CONTRACT PERIOD - SUB CONTRACTOR</t>
  </si>
  <si>
    <t>TM-24-1339 -: GOODS :  Material/Products to be utilized in the execution of the contract scope</t>
  </si>
  <si>
    <r>
      <rPr>
        <b/>
        <sz val="11"/>
        <color rgb="FFFF0000"/>
        <rFont val="Calibri"/>
        <family val="2"/>
      </rPr>
      <t xml:space="preserve">To be completed by Contractor </t>
    </r>
    <r>
      <rPr>
        <sz val="11"/>
        <color theme="1"/>
        <rFont val="Calibri"/>
        <family val="2"/>
      </rPr>
      <t>- Updates shall be based on contract duration period.  For example the contract duartion for 2 years then bidders to update the table below for 2  years only.</t>
    </r>
  </si>
  <si>
    <r>
      <rPr>
        <sz val="11"/>
        <color theme="1"/>
        <rFont val="Calibri"/>
        <family val="2"/>
      </rPr>
      <t xml:space="preserve">To Add new rows to the table, Select the entire last row of the table  and drag it to create the number of new rows required.please </t>
    </r>
    <r>
      <rPr>
        <b/>
        <sz val="11"/>
        <color rgb="FFFF0000"/>
        <rFont val="Calibri"/>
        <family val="2"/>
      </rPr>
      <t>DON'T</t>
    </r>
    <r>
      <rPr>
        <sz val="11"/>
        <color theme="1"/>
        <rFont val="Calibri"/>
        <family val="2"/>
      </rPr>
      <t xml:space="preserve"> insert a new row in the middle of the table.</t>
    </r>
  </si>
  <si>
    <t xml:space="preserve"> Made-in-Oman Goods Utilised in Contract Execution from Nationally Registered Suppliers</t>
  </si>
  <si>
    <t xml:space="preserve"> Made-in-Oman Goods Utilised in Contract Execution from SMEs</t>
  </si>
  <si>
    <t>Made-in-Oman Goods Utilised in Contract Execution procured from LCCs</t>
  </si>
  <si>
    <t xml:space="preserve"> NOT Made-in-Oman Goods Utilised in Contract Execution procured from National Registered Companies</t>
  </si>
  <si>
    <t xml:space="preserve"> NOT Made-in-Oman Goods Utilised in Contract Execution procured from Foreign Companies</t>
  </si>
  <si>
    <t xml:space="preserve"> NOT Made-in-Oman Goods Utilised in Contract Execution procured from SMEs</t>
  </si>
  <si>
    <t xml:space="preserve"> NOT Made-in-Oman Goods Utilised in Contract Execution procured from LCCs</t>
  </si>
  <si>
    <t>Procurement Type</t>
  </si>
  <si>
    <t>Goods Category</t>
  </si>
  <si>
    <t>Goods Sub Category</t>
  </si>
  <si>
    <t>Company Name/JSRS/CR</t>
  </si>
  <si>
    <t>JSRS Category</t>
  </si>
  <si>
    <t>Vendory Category (Read Only)</t>
  </si>
  <si>
    <t>LCC</t>
  </si>
  <si>
    <t>SME/LCC Obligation Type</t>
  </si>
  <si>
    <t xml:space="preserve">Summary Description </t>
  </si>
  <si>
    <t xml:space="preserve">TM-24-1339 -: Services  </t>
  </si>
  <si>
    <r>
      <rPr>
        <b/>
        <sz val="11"/>
        <color rgb="FFFF0000"/>
        <rFont val="Calibri"/>
        <family val="2"/>
      </rPr>
      <t xml:space="preserve">To be completed by Contractor </t>
    </r>
    <r>
      <rPr>
        <sz val="11"/>
        <color theme="1"/>
        <rFont val="Calibri"/>
        <family val="2"/>
      </rPr>
      <t>- Updates shall be based on contract duration period.  For example the contract duartion for 2 years then bidders to update the table below for 2  years only.</t>
    </r>
  </si>
  <si>
    <r>
      <rPr>
        <sz val="11"/>
        <color theme="1"/>
        <rFont val="Calibri"/>
        <family val="2"/>
      </rPr>
      <t xml:space="preserve">To Add new rows to the table, Select the entire last row of the table  and drag it to create the number of new rows required.please </t>
    </r>
    <r>
      <rPr>
        <b/>
        <sz val="11"/>
        <color rgb="FFFF0000"/>
        <rFont val="Calibri"/>
        <family val="2"/>
      </rPr>
      <t xml:space="preserve">DON'T </t>
    </r>
    <r>
      <rPr>
        <sz val="11"/>
        <color theme="1"/>
        <rFont val="Calibri"/>
        <family val="2"/>
      </rPr>
      <t xml:space="preserve">insert a new row in the middle of the table.   </t>
    </r>
  </si>
  <si>
    <t xml:space="preserve"> Local Sourcing of Services from Nationally-Registered Supplier Utilised in Contract Execution</t>
  </si>
  <si>
    <t xml:space="preserve"> Sourcing of Services from Foreign Companies Utilised in Contract Execution by Foreign Companies </t>
  </si>
  <si>
    <t>Sourcing of Services from SMEs</t>
  </si>
  <si>
    <t xml:space="preserve"> Sourcing of Services from LCC </t>
  </si>
  <si>
    <t>Service Category</t>
  </si>
  <si>
    <t>Service Sub Category</t>
  </si>
  <si>
    <t>Service Provider</t>
  </si>
  <si>
    <t>Table E - IndirectICV Element</t>
  </si>
  <si>
    <r>
      <rPr>
        <b/>
        <sz val="11"/>
        <color rgb="FFFF0000"/>
        <rFont val="Calibri"/>
        <family val="2"/>
      </rPr>
      <t xml:space="preserve">To be completed by Contractor </t>
    </r>
    <r>
      <rPr>
        <sz val="11"/>
        <color theme="1"/>
        <rFont val="Calibri"/>
        <family val="2"/>
      </rPr>
      <t>- Updates shall be based on contract duration period.  For example the contract duartion for 2 years then bidders to update the table below for 2  years only.</t>
    </r>
  </si>
  <si>
    <r>
      <rPr>
        <sz val="11"/>
        <color theme="1"/>
        <rFont val="Calibri"/>
        <family val="2"/>
      </rPr>
      <t xml:space="preserve">To Add new rows to the table, Select the entire last row of the table  and drag it to create the number of new rows required.please </t>
    </r>
    <r>
      <rPr>
        <b/>
        <sz val="11"/>
        <color rgb="FFFF0000"/>
        <rFont val="Calibri"/>
        <family val="2"/>
      </rPr>
      <t xml:space="preserve">DON'T </t>
    </r>
    <r>
      <rPr>
        <sz val="11"/>
        <color theme="1"/>
        <rFont val="Calibri"/>
        <family val="2"/>
      </rPr>
      <t xml:space="preserve">insert a new row in the middle of the table.   </t>
    </r>
  </si>
  <si>
    <t>E - IndirectICV Value</t>
  </si>
  <si>
    <t xml:space="preserve"> Category</t>
  </si>
  <si>
    <t xml:space="preserve"> Sub Category</t>
  </si>
  <si>
    <t xml:space="preserve">Value(USD) </t>
  </si>
  <si>
    <t>TABLE E - Tender Plan  Summary</t>
  </si>
  <si>
    <t xml:space="preserve">Tender Plan summary Table  for the duration of the Contract </t>
  </si>
  <si>
    <t>Total Tender Summary</t>
  </si>
  <si>
    <t>Investments in Fixed Assets</t>
  </si>
  <si>
    <t>Existing Inv</t>
  </si>
  <si>
    <t>Future Inv</t>
  </si>
  <si>
    <t>Workforce Utilized to Execute Contract</t>
  </si>
  <si>
    <t>overall</t>
  </si>
  <si>
    <t>Headcount</t>
  </si>
  <si>
    <t>Man-hours</t>
  </si>
  <si>
    <t>Payroll</t>
  </si>
  <si>
    <t>% Omanis Workforce</t>
  </si>
  <si>
    <t>Goods</t>
  </si>
  <si>
    <t>Made in Oman</t>
  </si>
  <si>
    <t>NRS</t>
  </si>
  <si>
    <t>SME</t>
  </si>
  <si>
    <t>Non-Made-in-Oman Goods Utilised in Contract Execution</t>
  </si>
  <si>
    <t>FRS</t>
  </si>
  <si>
    <t>Goods Category Name</t>
  </si>
  <si>
    <t>Category of Vendor</t>
  </si>
  <si>
    <t>Goods Procurement Category</t>
  </si>
  <si>
    <t>Services Procurement Category</t>
  </si>
  <si>
    <t xml:space="preserve"> LocalSourcingofServices_D1</t>
  </si>
  <si>
    <t>ForeignSourcingofServices_D2</t>
  </si>
  <si>
    <t>Services Category Name</t>
  </si>
  <si>
    <t>Repairing Facility</t>
  </si>
  <si>
    <t>Accessories</t>
  </si>
  <si>
    <t xml:space="preserve">Large </t>
  </si>
  <si>
    <t>MadeinOman</t>
  </si>
  <si>
    <t>ServicesSourced_NationalRegisteredCompany</t>
  </si>
  <si>
    <t>N/A</t>
  </si>
  <si>
    <t>Basis for Design / Concept</t>
  </si>
  <si>
    <t>Chemical_Energy</t>
  </si>
  <si>
    <t>Misc_Goods</t>
  </si>
  <si>
    <t>EngineeringProjectConstruction</t>
  </si>
  <si>
    <t>Equipment</t>
  </si>
  <si>
    <t>Wells</t>
  </si>
  <si>
    <t>Chemical_Energy_Services</t>
  </si>
  <si>
    <t>Corporate_Services</t>
  </si>
  <si>
    <t>EPC_Services</t>
  </si>
  <si>
    <t>EquipmentServices</t>
  </si>
  <si>
    <t>Geoscience_Services</t>
  </si>
  <si>
    <t>Misc_Services</t>
  </si>
  <si>
    <t>Wells_Services</t>
  </si>
  <si>
    <t>Service &amp; Maintenance Facility</t>
  </si>
  <si>
    <t>Actuators &amp; Relays</t>
  </si>
  <si>
    <t>NotMadeinOman_ProcuredfromNationallyRegisteredCompany</t>
  </si>
  <si>
    <t>ServicesSourced_ForeignRegisteredCompany</t>
  </si>
  <si>
    <t>Building Construction</t>
  </si>
  <si>
    <t>Diesel</t>
  </si>
  <si>
    <t>Facility Maintenance Materials &amp; Equipment</t>
  </si>
  <si>
    <t>Architectural &amp; Building Materials</t>
  </si>
  <si>
    <t>Electric Cables &amp; Accessories</t>
  </si>
  <si>
    <t>Artificial Lift Systems</t>
  </si>
  <si>
    <t>Chemical QA &amp; Performance</t>
  </si>
  <si>
    <t>Access Control</t>
  </si>
  <si>
    <t>Calibration</t>
  </si>
  <si>
    <t>Exploration Laboratory and Coreshed</t>
  </si>
  <si>
    <t>Cargo Management</t>
  </si>
  <si>
    <t>Heavy Equipment</t>
  </si>
  <si>
    <t>Actuators Valve</t>
  </si>
  <si>
    <t>NotMadeinOman_ProcuredfromForeignRegisteredCompany</t>
  </si>
  <si>
    <t>National Registered Supplier</t>
  </si>
  <si>
    <t>Bulk Hazardous Liquid</t>
  </si>
  <si>
    <t>Fuel Oils</t>
  </si>
  <si>
    <t>CCTV</t>
  </si>
  <si>
    <t>Building Structures</t>
  </si>
  <si>
    <t>Electrical Motors</t>
  </si>
  <si>
    <t>Cementing Accessories</t>
  </si>
  <si>
    <t>Lab Testing</t>
  </si>
  <si>
    <t>Air, Land &amp; Fleet/Lease</t>
  </si>
  <si>
    <t>Civils Construction Services</t>
  </si>
  <si>
    <t>Control &amp; Automation Systems Services</t>
  </si>
  <si>
    <t>Field / Surface Geology</t>
  </si>
  <si>
    <t>Completions &amp; Commisioning Services</t>
  </si>
  <si>
    <t>Casing &amp; Tubing Running Services</t>
  </si>
  <si>
    <t>Rigs &amp; Hoists</t>
  </si>
  <si>
    <t>After Market</t>
  </si>
  <si>
    <t>SLCC</t>
  </si>
  <si>
    <t>Natural Gas</t>
  </si>
  <si>
    <t>End User Computing (EUC)</t>
  </si>
  <si>
    <t>Civil Bulk Materials</t>
  </si>
  <si>
    <t>Generators</t>
  </si>
  <si>
    <t>Completions and Liner Hanger Systems</t>
  </si>
  <si>
    <t>Surface Services</t>
  </si>
  <si>
    <t>Catering</t>
  </si>
  <si>
    <t>Decommissioning Services</t>
  </si>
  <si>
    <t>Field Control and Maintenance Services</t>
  </si>
  <si>
    <t>Geoinformation Management</t>
  </si>
  <si>
    <t>Environmental Services</t>
  </si>
  <si>
    <t>Cementing &amp; Stimulation Services</t>
  </si>
  <si>
    <t>Manufacturing Facility</t>
  </si>
  <si>
    <t>Air Coolers</t>
  </si>
  <si>
    <t>Cargo Clearance</t>
  </si>
  <si>
    <t>Utilities</t>
  </si>
  <si>
    <t>Hosting &amp; Storage (H&amp;S)</t>
  </si>
  <si>
    <t>Insulation &amp; Refractory Materials</t>
  </si>
  <si>
    <t>Line, Overhead Line and Accessories</t>
  </si>
  <si>
    <t>Down Hole Pressure Control Equipment</t>
  </si>
  <si>
    <t>Sub Surface Services</t>
  </si>
  <si>
    <t xml:space="preserve">Contract Labor </t>
  </si>
  <si>
    <t>Demolition &amp; Cleanup Services</t>
  </si>
  <si>
    <t>Rotating Equipment After Market Service</t>
  </si>
  <si>
    <t>Geological Services</t>
  </si>
  <si>
    <t>Fire &amp; Safety Equipment</t>
  </si>
  <si>
    <t>Warehouse</t>
  </si>
  <si>
    <t>Antifoam</t>
  </si>
  <si>
    <t>Cargo Clearance Services</t>
  </si>
  <si>
    <t>Water</t>
  </si>
  <si>
    <t>Switchgears</t>
  </si>
  <si>
    <t>Drilling &amp; Fishing Equipment &amp; Tools</t>
  </si>
  <si>
    <t>Chemical Analysis</t>
  </si>
  <si>
    <t>Education Providers</t>
  </si>
  <si>
    <t xml:space="preserve">Detail Design &amp; As Built </t>
  </si>
  <si>
    <t>Geophysical Services</t>
  </si>
  <si>
    <t>Freight Forwarding</t>
  </si>
  <si>
    <t>Coiled Tubing Services</t>
  </si>
  <si>
    <t>New Production Line</t>
  </si>
  <si>
    <t xml:space="preserve">Automobiles </t>
  </si>
  <si>
    <t>Bulk Chemicals</t>
  </si>
  <si>
    <t>Office Equipment &amp; Services</t>
  </si>
  <si>
    <t>Electrical &amp; Instrumentation Construction Services</t>
  </si>
  <si>
    <t>Transformers</t>
  </si>
  <si>
    <t>Drilling Bits</t>
  </si>
  <si>
    <t>Emergency Response</t>
  </si>
  <si>
    <t>Earthmoving Work</t>
  </si>
  <si>
    <t>Integrated Specialist Geological Services</t>
  </si>
  <si>
    <t>General Maintenance</t>
  </si>
  <si>
    <t>Ball Valve</t>
  </si>
  <si>
    <t>Casing &amp; Tubing Running Services / Casing While Drilling</t>
  </si>
  <si>
    <t>Commercial Chemicals</t>
  </si>
  <si>
    <t>Mechanical Construction Services</t>
  </si>
  <si>
    <t>Uninterrupted Power Systems</t>
  </si>
  <si>
    <t>Drilling Machinery Sand Mud Control Instruments</t>
  </si>
  <si>
    <t>Events, Hotels &amp; Agencies</t>
  </si>
  <si>
    <t>Electrical Construction Services</t>
  </si>
  <si>
    <t>Quantitative Interpretation</t>
  </si>
  <si>
    <t>Health Services</t>
  </si>
  <si>
    <t>Coring Services</t>
  </si>
  <si>
    <t>Batteries/Accessories</t>
  </si>
  <si>
    <t>Miscellaneous Chemicals</t>
  </si>
  <si>
    <t xml:space="preserve">Mechanical/Electrical &amp; Instrumentation </t>
  </si>
  <si>
    <t>Fasteners</t>
  </si>
  <si>
    <t>Inflatables / Expandables</t>
  </si>
  <si>
    <t>Facility Management &amp; Maintenance Services</t>
  </si>
  <si>
    <t>FEED</t>
  </si>
  <si>
    <t>Remote Sensing</t>
  </si>
  <si>
    <t>HSE Advisory Services</t>
  </si>
  <si>
    <t>Directional Drilling Services</t>
  </si>
  <si>
    <t xml:space="preserve">Beam Pumps </t>
  </si>
  <si>
    <t>Catering Services</t>
  </si>
  <si>
    <t>Oil Based Mud Chemicals</t>
  </si>
  <si>
    <t>Fencing</t>
  </si>
  <si>
    <t>General Packages</t>
  </si>
  <si>
    <t>Fittings</t>
  </si>
  <si>
    <t>OCTG Accessories &amp; Inspection Services</t>
  </si>
  <si>
    <t>Flowline Construction</t>
  </si>
  <si>
    <t>Research Deployment</t>
  </si>
  <si>
    <t>BOP and Accessories</t>
  </si>
  <si>
    <t>Cathodic Proctection</t>
  </si>
  <si>
    <t>Salts</t>
  </si>
  <si>
    <t>Telecommunications</t>
  </si>
  <si>
    <t>Process Packages</t>
  </si>
  <si>
    <t>Flanges</t>
  </si>
  <si>
    <t>OCTG Coiled Tubing Tools and Accessories</t>
  </si>
  <si>
    <t>Finance/Legal/Insurance/Marketing</t>
  </si>
  <si>
    <t>General Civil Work</t>
  </si>
  <si>
    <t>Reservior Services</t>
  </si>
  <si>
    <t>Landscapping</t>
  </si>
  <si>
    <t>Bulk</t>
  </si>
  <si>
    <t>Cementing &amp; Stimulation</t>
  </si>
  <si>
    <t>Specialty Chemicals</t>
  </si>
  <si>
    <t>Software &amp; Licenses</t>
  </si>
  <si>
    <t>Gaskets &amp; O-rings</t>
  </si>
  <si>
    <t>Production Surface Equipment and Accessories</t>
  </si>
  <si>
    <t>HR, Consulting &amp; Services</t>
  </si>
  <si>
    <t>Seismic Acquisition</t>
  </si>
  <si>
    <t>Lifting Services</t>
  </si>
  <si>
    <t>Burners, Flare Systems &amp; Flame arrestors</t>
  </si>
  <si>
    <t>Chemicals Transportation</t>
  </si>
  <si>
    <t>Sub-Surface Polymers</t>
  </si>
  <si>
    <t>Hardware Tools &amp; Consumables</t>
  </si>
  <si>
    <t>Production Well Test and Monitoring Instruments</t>
  </si>
  <si>
    <t>HSE &amp; Government Relations</t>
  </si>
  <si>
    <t>Installation Services</t>
  </si>
  <si>
    <t>Seismic Processing</t>
  </si>
  <si>
    <t>Logistic &amp; Transportation</t>
  </si>
  <si>
    <t>Drilling Equipment Services</t>
  </si>
  <si>
    <t>Butterfly Valve</t>
  </si>
  <si>
    <t>Civil Services</t>
  </si>
  <si>
    <t>Hoses</t>
  </si>
  <si>
    <t>Wellhead Eqmt X-mas Trees BOP &amp; Accessories</t>
  </si>
  <si>
    <t>IT Consulting</t>
  </si>
  <si>
    <t>Instrumentation Construction Services</t>
  </si>
  <si>
    <t>Surveying &amp; Mapping</t>
  </si>
  <si>
    <t>Maintenance &amp; Services</t>
  </si>
  <si>
    <t>Cables &amp; Accessories</t>
  </si>
  <si>
    <t>Corrosion Chemicals</t>
  </si>
  <si>
    <t>Safety Services</t>
  </si>
  <si>
    <t>Process Pipe</t>
  </si>
  <si>
    <t>Wireline Equipment and Accessories</t>
  </si>
  <si>
    <t>IT Services &amp; Maintenance</t>
  </si>
  <si>
    <t>Lining/Coating/Paimtimg</t>
  </si>
  <si>
    <t>Materials Management Services</t>
  </si>
  <si>
    <t>Fishing Milling &amp; Cutting Services</t>
  </si>
  <si>
    <t>Completions Services</t>
  </si>
  <si>
    <t>Dehydration Chemicals</t>
  </si>
  <si>
    <t>Spades/Spectacle Blinds</t>
  </si>
  <si>
    <t>IT Systems Development &amp; Management</t>
  </si>
  <si>
    <t>Passenger Management Services - Aviation</t>
  </si>
  <si>
    <t>Fluid Filteration</t>
  </si>
  <si>
    <t xml:space="preserve">Casing and Tubing </t>
  </si>
  <si>
    <t>Compressor Services</t>
  </si>
  <si>
    <t>Deoiler / F46</t>
  </si>
  <si>
    <t>Steam Traps</t>
  </si>
  <si>
    <t>Wellheads / Xtrees</t>
  </si>
  <si>
    <t>Managed Network Services (MNS)</t>
  </si>
  <si>
    <t>NDT Work</t>
  </si>
  <si>
    <t>Passenger Management Services - Land</t>
  </si>
  <si>
    <t>H2S Services</t>
  </si>
  <si>
    <t>Compressors Services</t>
  </si>
  <si>
    <t>Drag Reducer</t>
  </si>
  <si>
    <t>Control Valves</t>
  </si>
  <si>
    <t>Media Services</t>
  </si>
  <si>
    <t>OHL Construction &amp; Services</t>
  </si>
  <si>
    <t>Passenger Management Services - Light Fleet</t>
  </si>
  <si>
    <t>Heavy Rigs</t>
  </si>
  <si>
    <t>Ceiling Panels &amp; Roof Decking</t>
  </si>
  <si>
    <t>Concrete Services</t>
  </si>
  <si>
    <t>H2S Scavenger</t>
  </si>
  <si>
    <t>Field Sensors</t>
  </si>
  <si>
    <t xml:space="preserve">Pigging &amp; Testing </t>
  </si>
  <si>
    <t>Production Testing &amp; Monitoring</t>
  </si>
  <si>
    <t>High Pressure Fracturing</t>
  </si>
  <si>
    <t>Cellarless Wellhead</t>
  </si>
  <si>
    <t>Consultancy Services</t>
  </si>
  <si>
    <t>Industrial Gases</t>
  </si>
  <si>
    <t>Fire &amp; Gas Detectors</t>
  </si>
  <si>
    <t>Office Management Services</t>
  </si>
  <si>
    <t>Pipeline Maintenance &amp; Construction</t>
  </si>
  <si>
    <t>Repair of Hazardous Area</t>
  </si>
  <si>
    <t xml:space="preserve">Centrifugal </t>
  </si>
  <si>
    <t xml:space="preserve">Control &amp; Automation Systems </t>
  </si>
  <si>
    <t>Laboratory chemicals</t>
  </si>
  <si>
    <t>IAE QA Services</t>
  </si>
  <si>
    <t>Property &amp; Land Services</t>
  </si>
  <si>
    <t>Plant Construction</t>
  </si>
  <si>
    <t>Rock Blasting &amp; Cutting</t>
  </si>
  <si>
    <t>Light / Medium Rigs</t>
  </si>
  <si>
    <t>Check Valve</t>
  </si>
  <si>
    <t>Scale Inhibitor</t>
  </si>
  <si>
    <t>Instrument Cables</t>
  </si>
  <si>
    <t>Research and Consulting</t>
  </si>
  <si>
    <t>Plugging Services</t>
  </si>
  <si>
    <t>Logging &amp; Perforation</t>
  </si>
  <si>
    <t>Chemicals</t>
  </si>
  <si>
    <t>Control Room System</t>
  </si>
  <si>
    <t>Surface Polymers</t>
  </si>
  <si>
    <t>Instrument Hook Ups</t>
  </si>
  <si>
    <t>Secondary Logistics</t>
  </si>
  <si>
    <t>Mud &amp; Drilling Chemical Services</t>
  </si>
  <si>
    <t>Chemicals &amp; Energy</t>
  </si>
  <si>
    <t>Control Valve Maintenance</t>
  </si>
  <si>
    <t>Water Treatment</t>
  </si>
  <si>
    <t>IPF Valves</t>
  </si>
  <si>
    <t>Project Inspection, QA &amp; QC</t>
  </si>
  <si>
    <t>Special Services</t>
  </si>
  <si>
    <t>Mud Logging Services</t>
  </si>
  <si>
    <t xml:space="preserve">Christmas Tree </t>
  </si>
  <si>
    <t>Wax Inhibitor</t>
  </si>
  <si>
    <t>Local Field Instruments</t>
  </si>
  <si>
    <t>Telecommunications Services &amp; Maintenance</t>
  </si>
  <si>
    <t>Project Management</t>
  </si>
  <si>
    <t>Specialty Maintenance</t>
  </si>
  <si>
    <t>Nitrogen Services</t>
  </si>
  <si>
    <t>Civil Equipment</t>
  </si>
  <si>
    <t>Corrosion Inspection</t>
  </si>
  <si>
    <t>Process Automation Systems</t>
  </si>
  <si>
    <t>Training Providers</t>
  </si>
  <si>
    <t>Project Services, Contract Services, Handover &amp; IM Delivery</t>
  </si>
  <si>
    <t>Topography</t>
  </si>
  <si>
    <t>Cleaning Detergent</t>
  </si>
  <si>
    <t>Data Communication services</t>
  </si>
  <si>
    <t>Wellhead Control Panels</t>
  </si>
  <si>
    <t>Snubbing Services</t>
  </si>
  <si>
    <t>Valve Maintenance</t>
  </si>
  <si>
    <t>Cleaning Equipment</t>
  </si>
  <si>
    <t>Pipe Handling &amp; Lifting Equipment</t>
  </si>
  <si>
    <t xml:space="preserve">Tank Construction </t>
  </si>
  <si>
    <t xml:space="preserve">Waste and Air Management </t>
  </si>
  <si>
    <t>CO2 Extinguisher</t>
  </si>
  <si>
    <t>Digital Mapping</t>
  </si>
  <si>
    <t>Carbon Steel Linepipe / Piping</t>
  </si>
  <si>
    <t>Technical Manpower</t>
  </si>
  <si>
    <t>Commercial</t>
  </si>
  <si>
    <t>Directional Drilling</t>
  </si>
  <si>
    <t>Corrosion Resistent Alloy (CRA) Materials</t>
  </si>
  <si>
    <t>Troubleshooting / Engineering Support</t>
  </si>
  <si>
    <t>Rig Derricks and Accessories</t>
  </si>
  <si>
    <t>Communication Equipments</t>
  </si>
  <si>
    <t xml:space="preserve">Distribution System </t>
  </si>
  <si>
    <t>Duplex Stainless Steel Linepipe / Piping</t>
  </si>
  <si>
    <t>Rigless Intervention</t>
  </si>
  <si>
    <t>Completions Equipment</t>
  </si>
  <si>
    <t>Flexible Pipes</t>
  </si>
  <si>
    <t>Road Services</t>
  </si>
  <si>
    <t>Compressors</t>
  </si>
  <si>
    <t>Education/Training Services</t>
  </si>
  <si>
    <t>Linepipe - Non-Metallic</t>
  </si>
  <si>
    <t>Site Survey</t>
  </si>
  <si>
    <t>Computer Hardware</t>
  </si>
  <si>
    <t>Electrical Engineering Services</t>
  </si>
  <si>
    <t>Piping Accessories</t>
  </si>
  <si>
    <t>Well Abandonment</t>
  </si>
  <si>
    <t>Computer Peripherals</t>
  </si>
  <si>
    <t>Electrical Installation &amp; Testing</t>
  </si>
  <si>
    <t>Air Compressors</t>
  </si>
  <si>
    <t>Well Analysis</t>
  </si>
  <si>
    <t>Concrete Products</t>
  </si>
  <si>
    <t>Electrical Maintenance</t>
  </si>
  <si>
    <t>Well Control (Emerg.)</t>
  </si>
  <si>
    <t>Control Equipment</t>
  </si>
  <si>
    <t>Electrical Services</t>
  </si>
  <si>
    <t>Engines</t>
  </si>
  <si>
    <t>Well Hoist Services</t>
  </si>
  <si>
    <t xml:space="preserve">Control Panels </t>
  </si>
  <si>
    <t>Engine Services</t>
  </si>
  <si>
    <t>Pumps</t>
  </si>
  <si>
    <t>Well Site Construction</t>
  </si>
  <si>
    <t>Turbines</t>
  </si>
  <si>
    <t>Well Test</t>
  </si>
  <si>
    <t>Control/IPF Valves</t>
  </si>
  <si>
    <t>Equipment Maintenance</t>
  </si>
  <si>
    <t>Turbo Expanders</t>
  </si>
  <si>
    <t>Estate Maintenance</t>
  </si>
  <si>
    <t>CRA Materials</t>
  </si>
  <si>
    <t>Database Equipment</t>
  </si>
  <si>
    <t>Filter-Separators &amp; Filter(s) Element</t>
  </si>
  <si>
    <t>Wireline Logging</t>
  </si>
  <si>
    <t>Explosive Transport and Storage</t>
  </si>
  <si>
    <t>Fired Equipment</t>
  </si>
  <si>
    <t>Facility Maintenance</t>
  </si>
  <si>
    <t>HVAC</t>
  </si>
  <si>
    <t>Detection Instruments</t>
  </si>
  <si>
    <t>Mixers, Crushers &amp; Accumulators</t>
  </si>
  <si>
    <t>Detectors</t>
  </si>
  <si>
    <t>Facility Management</t>
  </si>
  <si>
    <t xml:space="preserve">Pressure Vessels, Columns &amp; Reactors </t>
  </si>
  <si>
    <t>Distribution Board</t>
  </si>
  <si>
    <t>Skids</t>
  </si>
  <si>
    <t>Doors &amp; Windows</t>
  </si>
  <si>
    <t xml:space="preserve">Facilty Management </t>
  </si>
  <si>
    <t>Tanks, Spheres &amp; Accessories</t>
  </si>
  <si>
    <t>Downhole Gauges</t>
  </si>
  <si>
    <t>Failure Analysis</t>
  </si>
  <si>
    <t>Unfired Heat Exchangers</t>
  </si>
  <si>
    <t>Valves</t>
  </si>
  <si>
    <t xml:space="preserve">Field Control and Maintenance </t>
  </si>
  <si>
    <t>Vessel &amp; Column Internals</t>
  </si>
  <si>
    <t>Dry Powder Extinguisher</t>
  </si>
  <si>
    <t>Well-Hook up</t>
  </si>
  <si>
    <t>Earthing Fittings</t>
  </si>
  <si>
    <t>Field/ Surface Geology</t>
  </si>
  <si>
    <t>Fire &amp; Safety Services</t>
  </si>
  <si>
    <t>Electrical Equipment</t>
  </si>
  <si>
    <t>Fire Detection &amp; Alarm Installation</t>
  </si>
  <si>
    <t>Fishing &amp; Milling</t>
  </si>
  <si>
    <t>Electricity</t>
  </si>
  <si>
    <t>ESP &amp; PCP Pump</t>
  </si>
  <si>
    <t>ESP Pump</t>
  </si>
  <si>
    <t>Extinguishers</t>
  </si>
  <si>
    <t>Geochemical</t>
  </si>
  <si>
    <t>Geological</t>
  </si>
  <si>
    <t>Feeder Pillars</t>
  </si>
  <si>
    <t>Geoscience</t>
  </si>
  <si>
    <t>Fencing &amp; Barriers</t>
  </si>
  <si>
    <t>Geotechnical Services</t>
  </si>
  <si>
    <t>Fencing &amp; Barriers Materials</t>
  </si>
  <si>
    <t>Gravel Pack Services</t>
  </si>
  <si>
    <t>GRE Construction</t>
  </si>
  <si>
    <t>Health, Safety and Environment</t>
  </si>
  <si>
    <t>Fire Hose Reels</t>
  </si>
  <si>
    <t>Heavy Civil Construction</t>
  </si>
  <si>
    <t>Heavy Civil Contruction</t>
  </si>
  <si>
    <t>Fishing &amp; Repairing Tool</t>
  </si>
  <si>
    <t>Hydrographic Services</t>
  </si>
  <si>
    <t>Flow Instruments</t>
  </si>
  <si>
    <t>Hydrographicn Services</t>
  </si>
  <si>
    <t>Food Products</t>
  </si>
  <si>
    <t>Industrial Coating</t>
  </si>
  <si>
    <t>Inspection &amp; Repair</t>
  </si>
  <si>
    <t>Gas Turbines</t>
  </si>
  <si>
    <t>Inspection, QA &amp; QC</t>
  </si>
  <si>
    <t>Gaslift Valves</t>
  </si>
  <si>
    <t>Instrument Services</t>
  </si>
  <si>
    <t>Gate Valve</t>
  </si>
  <si>
    <t>Instrumentation &amp; Automation Services</t>
  </si>
  <si>
    <t>Instruments Services</t>
  </si>
  <si>
    <t>Global Positioning System(GPS)/ Accessories</t>
  </si>
  <si>
    <t>Globe Valve</t>
  </si>
  <si>
    <t>Investigation</t>
  </si>
  <si>
    <t>GPS &amp; Accessories</t>
  </si>
  <si>
    <t>Investigation/Verification</t>
  </si>
  <si>
    <t>H2S Gas Monitor</t>
  </si>
  <si>
    <t>Irrigation Services</t>
  </si>
  <si>
    <t>IT Hardware Maintenance</t>
  </si>
  <si>
    <t>Hardware Building Materials</t>
  </si>
  <si>
    <t>IT Products &amp; Services</t>
  </si>
  <si>
    <t>Hardware Materials</t>
  </si>
  <si>
    <t>IT Services</t>
  </si>
  <si>
    <t>Health &amp; Safety Equipment</t>
  </si>
  <si>
    <t>Heat Detectors</t>
  </si>
  <si>
    <t xml:space="preserve">IT Systems Development </t>
  </si>
  <si>
    <t>Heaters,Boilers &amp; Furnaces</t>
  </si>
  <si>
    <t>IT systems Management</t>
  </si>
  <si>
    <t>Heating &amp; Air Condition Units</t>
  </si>
  <si>
    <t xml:space="preserve">HFW Carbon Steel </t>
  </si>
  <si>
    <t>Land Rig</t>
  </si>
  <si>
    <t>Hook Ups</t>
  </si>
  <si>
    <t>Landscaping</t>
  </si>
  <si>
    <t>Hoses/Tubes/Pipes</t>
  </si>
  <si>
    <t>Legal Services</t>
  </si>
  <si>
    <t>HSAW Carbon Steel</t>
  </si>
  <si>
    <t>Hydraulic Units</t>
  </si>
  <si>
    <t>Lifting Services- Cranes</t>
  </si>
  <si>
    <t>Hydro Carbon Personnel Monitors</t>
  </si>
  <si>
    <t>Light Civil Construction</t>
  </si>
  <si>
    <t xml:space="preserve">Lining/Coating </t>
  </si>
  <si>
    <t>Logistics</t>
  </si>
  <si>
    <t>Inhibitor</t>
  </si>
  <si>
    <t>Machine Services</t>
  </si>
  <si>
    <t xml:space="preserve">Instrument Air Compressor </t>
  </si>
  <si>
    <t>Machining Services</t>
  </si>
  <si>
    <t>Marine Services</t>
  </si>
  <si>
    <t>Instrumentation &amp; Automation Equipment</t>
  </si>
  <si>
    <t xml:space="preserve">Materials Management </t>
  </si>
  <si>
    <t>Irrigation Equipment</t>
  </si>
  <si>
    <t>Mechanical Services</t>
  </si>
  <si>
    <t>Isolators &amp; Disconnectors</t>
  </si>
  <si>
    <t>IT &amp; Telecom</t>
  </si>
  <si>
    <t xml:space="preserve">Kitchen &amp; Catering </t>
  </si>
  <si>
    <t>Meter Proving</t>
  </si>
  <si>
    <t>Motor/Generators Services</t>
  </si>
  <si>
    <t>Laboratory Equipment</t>
  </si>
  <si>
    <t>Mud &amp; Sludge Services</t>
  </si>
  <si>
    <t>Level Instruments</t>
  </si>
  <si>
    <t>Mud Logging</t>
  </si>
  <si>
    <t>Lifting Equipment</t>
  </si>
  <si>
    <t>Light &amp; Fittings</t>
  </si>
  <si>
    <t>Lighting Columns &amp; Fittings</t>
  </si>
  <si>
    <t>Oceanographic Services</t>
  </si>
  <si>
    <t>Liner Hangers &amp; Assemblies</t>
  </si>
  <si>
    <t>Office Management</t>
  </si>
  <si>
    <t>LSAW Carbon Steel</t>
  </si>
  <si>
    <t>OHL Construction</t>
  </si>
  <si>
    <t>Mandrels</t>
  </si>
  <si>
    <t>Media Converter</t>
  </si>
  <si>
    <t>OHL Live Line Washing</t>
  </si>
  <si>
    <t>Medical Equipment</t>
  </si>
  <si>
    <t>Painting &amp; Decorating</t>
  </si>
  <si>
    <t>Medical Equpment</t>
  </si>
  <si>
    <t>Passenger Management - Aviation</t>
  </si>
  <si>
    <t>Metering Equipment</t>
  </si>
  <si>
    <t>Passenger Management - Land</t>
  </si>
  <si>
    <t>Miscellaneous</t>
  </si>
  <si>
    <t>Passenger Management - Light Fleet</t>
  </si>
  <si>
    <t>Miscelleneous</t>
  </si>
  <si>
    <t>Modems</t>
  </si>
  <si>
    <t>Monitors</t>
  </si>
  <si>
    <t>Motors</t>
  </si>
  <si>
    <t>Pigging &amp; Testing Pipeline</t>
  </si>
  <si>
    <t>Multi-Detectors Type-Personal Detector</t>
  </si>
  <si>
    <t>Pipeline Coating</t>
  </si>
  <si>
    <t>Pipeline Construction</t>
  </si>
  <si>
    <t>Pipeline Inspection &amp; Repair</t>
  </si>
  <si>
    <t xml:space="preserve">Office Furniture </t>
  </si>
  <si>
    <t xml:space="preserve">Pipeline Linning </t>
  </si>
  <si>
    <t>Pipeline Maintenance</t>
  </si>
  <si>
    <t>Oil Country Tubular Goods</t>
  </si>
  <si>
    <t>Plant Construction Equipment</t>
  </si>
  <si>
    <t>Other Turbines</t>
  </si>
  <si>
    <t>Other Valves</t>
  </si>
  <si>
    <t>Plumbing Services</t>
  </si>
  <si>
    <t xml:space="preserve">Packer &amp; Accessories </t>
  </si>
  <si>
    <t>Power Station/Substation Construction</t>
  </si>
  <si>
    <t>Painting &amp; Decorating Materials</t>
  </si>
  <si>
    <t xml:space="preserve">Professional Services </t>
  </si>
  <si>
    <t>Personal Communication Equipment</t>
  </si>
  <si>
    <t>Project &amp; Engineering Services</t>
  </si>
  <si>
    <t>Phones/Fax and Accessories</t>
  </si>
  <si>
    <t>Pipes &amp; Fittings</t>
  </si>
  <si>
    <t>Plugs &amp; Connectors</t>
  </si>
  <si>
    <t>Polymers</t>
  </si>
  <si>
    <t>Portable Multi-Gas Monitor</t>
  </si>
  <si>
    <t>Power Supply/Rectifiers/Covertors/Voltage</t>
  </si>
  <si>
    <t>Rent Cars</t>
  </si>
  <si>
    <t>Pressure Instruments</t>
  </si>
  <si>
    <t>Printers &amp; Accessories</t>
  </si>
  <si>
    <t>Resevoir Services</t>
  </si>
  <si>
    <t>Printers/Toners amd Catridges</t>
  </si>
  <si>
    <t>Rig Inspection</t>
  </si>
  <si>
    <t>Progressive Cavity Pumps</t>
  </si>
  <si>
    <t>Projectors/Audio/Video Equipment</t>
  </si>
  <si>
    <t>RTOC</t>
  </si>
  <si>
    <t>RTP Construction</t>
  </si>
  <si>
    <t>Quality</t>
  </si>
  <si>
    <t>Radio Antennas &amp; Towers</t>
  </si>
  <si>
    <t>Security Services</t>
  </si>
  <si>
    <t>Radios Antennas</t>
  </si>
  <si>
    <t>Rcording and Messaging Equipment</t>
  </si>
  <si>
    <t>Seismic Acquisition &amp; Processing</t>
  </si>
  <si>
    <t>Rectifiers,Inverters &amp; Converters</t>
  </si>
  <si>
    <t>Regulators</t>
  </si>
  <si>
    <t>Service &amp; Maintenance</t>
  </si>
  <si>
    <t>Reinforcement Steel</t>
  </si>
  <si>
    <t>Sewage Treatment</t>
  </si>
  <si>
    <t>Relief Valve</t>
  </si>
  <si>
    <t>Remote Fieldbus</t>
  </si>
  <si>
    <t>Residential Furniture</t>
  </si>
  <si>
    <t>Special Electrical Services</t>
  </si>
  <si>
    <t>Rods &amp; Suckers</t>
  </si>
  <si>
    <t>Roof Sheeting &amp; Insulations</t>
  </si>
  <si>
    <t>Steel Work</t>
  </si>
  <si>
    <t>Rotating Equipment</t>
  </si>
  <si>
    <t>Structures Demolition</t>
  </si>
  <si>
    <t>Safety Valve</t>
  </si>
  <si>
    <t>Switchboard/RMU Repairs</t>
  </si>
  <si>
    <t>Sand Control</t>
  </si>
  <si>
    <t>Sanitaryware</t>
  </si>
  <si>
    <t>Tank Maintenance</t>
  </si>
  <si>
    <t>Sanitaryware Items</t>
  </si>
  <si>
    <t>Telecom Equipment Services</t>
  </si>
  <si>
    <t>Seamless Carbon Steel</t>
  </si>
  <si>
    <t>Security System</t>
  </si>
  <si>
    <t>Travel Services</t>
  </si>
  <si>
    <t>Self Contained Breathing Apparatus -SCBA</t>
  </si>
  <si>
    <t>Sign Board</t>
  </si>
  <si>
    <t>Turbine Services</t>
  </si>
  <si>
    <t>Signs Board &amp; Street Furniture</t>
  </si>
  <si>
    <t>Slickline Set</t>
  </si>
  <si>
    <t>Verification</t>
  </si>
  <si>
    <t>Slim Hole Wellhead Equipment</t>
  </si>
  <si>
    <t>Vessel Construction</t>
  </si>
  <si>
    <t>Smoke Detectors</t>
  </si>
  <si>
    <t>Vessel Maintenance</t>
  </si>
  <si>
    <t xml:space="preserve">Solar Power </t>
  </si>
  <si>
    <t>Solenoid Valve</t>
  </si>
  <si>
    <t>Specialty</t>
  </si>
  <si>
    <t>Static/MRO Equipment</t>
  </si>
  <si>
    <t>Stationery Items</t>
  </si>
  <si>
    <t>Well Services</t>
  </si>
  <si>
    <t>Steam Turbines</t>
  </si>
  <si>
    <t>Switches,Fuses &amp; Conduit</t>
  </si>
  <si>
    <t>Systems Equipment</t>
  </si>
  <si>
    <t>Temperature Instruments</t>
  </si>
  <si>
    <t>Terminal &amp; Junction Boxes</t>
  </si>
  <si>
    <t>Thermal Detectors</t>
  </si>
  <si>
    <t>Tiles</t>
  </si>
  <si>
    <t>Tools &amp; Consumables</t>
  </si>
  <si>
    <t>Towers/Mast/Poles</t>
  </si>
  <si>
    <t>Tubes</t>
  </si>
  <si>
    <t>UPS</t>
  </si>
  <si>
    <t>UPS System</t>
  </si>
  <si>
    <t>Wall &amp; Flooring Tiles</t>
  </si>
  <si>
    <t>Warehouse Equipment</t>
  </si>
  <si>
    <t>Water &amp; Sewage Pumps</t>
  </si>
  <si>
    <t xml:space="preserve">Water Extinguisher </t>
  </si>
  <si>
    <t>Welded Pipes</t>
  </si>
  <si>
    <t>Wellhead Control Panel</t>
  </si>
  <si>
    <t>Wellhead Valves</t>
  </si>
  <si>
    <t xml:space="preserve">Wellheads </t>
  </si>
  <si>
    <t>Wellheads &amp; Accessories</t>
  </si>
  <si>
    <t>Wells Equipment</t>
  </si>
  <si>
    <t>Wire Wrap and Pre-Packed Screens</t>
  </si>
  <si>
    <t>Wireline Equipment</t>
  </si>
  <si>
    <t>Wood Materials</t>
  </si>
  <si>
    <t>Woods Materials</t>
  </si>
  <si>
    <t>Workshop Equipment</t>
  </si>
  <si>
    <t xml:space="preserve">Xmas Tree </t>
  </si>
  <si>
    <t>LCC YN</t>
  </si>
  <si>
    <t>Large</t>
  </si>
  <si>
    <t>International</t>
  </si>
  <si>
    <t>Made_In_Oman</t>
  </si>
  <si>
    <t>Chemicals and Energy</t>
  </si>
  <si>
    <t>Yes</t>
  </si>
  <si>
    <t>SME - Medium</t>
  </si>
  <si>
    <t>NonMade_In_Oman</t>
  </si>
  <si>
    <t>Civil and Equipment</t>
  </si>
  <si>
    <t>No</t>
  </si>
  <si>
    <t>SME - Micro</t>
  </si>
  <si>
    <t>Electrical and Equipment</t>
  </si>
  <si>
    <t>SME - Small</t>
  </si>
  <si>
    <t>Health and Safety and Equipment</t>
  </si>
  <si>
    <t>Instrumentation and Automation and Equipment</t>
  </si>
  <si>
    <t>Corrosion and Chemicals</t>
  </si>
  <si>
    <t>IT and Telecom</t>
  </si>
  <si>
    <t>Dehydration and Chemicals</t>
  </si>
  <si>
    <t>Linepipe</t>
  </si>
  <si>
    <t>Deoiler and F46</t>
  </si>
  <si>
    <t>Other and Equipments</t>
  </si>
  <si>
    <t>Drag and Reducer</t>
  </si>
  <si>
    <t>Others</t>
  </si>
  <si>
    <t>Rotating and Equipment</t>
  </si>
  <si>
    <t>Fuel and Oils</t>
  </si>
  <si>
    <t>Static and MRO and Equipment</t>
  </si>
  <si>
    <t>H2S and Scavenger</t>
  </si>
  <si>
    <t>Wells and Equipment</t>
  </si>
  <si>
    <t>Industrial and Gases</t>
  </si>
  <si>
    <t>Laboratory and chemicals</t>
  </si>
  <si>
    <t>Natural and Gas</t>
  </si>
  <si>
    <t>Oil and Based and Mud and Chemicals</t>
  </si>
  <si>
    <t>Scale and Inhibitor</t>
  </si>
  <si>
    <t>Water and Treatment</t>
  </si>
  <si>
    <t>Wax and Inhibitor</t>
  </si>
  <si>
    <t>Ceiling and Panels and Roof and Decking</t>
  </si>
  <si>
    <t>Concrete and Products</t>
  </si>
  <si>
    <t>Doors and Windows</t>
  </si>
  <si>
    <t>Fencing and Barriers</t>
  </si>
  <si>
    <t>Fencing and Barriers and Materials</t>
  </si>
  <si>
    <t>Hardware and Building and Materials</t>
  </si>
  <si>
    <t>Hardware and Materials</t>
  </si>
  <si>
    <t>Heating and Air and Condition and Units</t>
  </si>
  <si>
    <t>Irrigation and Equipment</t>
  </si>
  <si>
    <t>Light and Fittings</t>
  </si>
  <si>
    <t>Painting and Decorating</t>
  </si>
  <si>
    <t>Painting and Decorating and Materials</t>
  </si>
  <si>
    <t>Pipes and Fittings</t>
  </si>
  <si>
    <t>Reinforcement and Steel</t>
  </si>
  <si>
    <t>Roof and Sheeting and Insulations</t>
  </si>
  <si>
    <t>Sanitaryware and Items</t>
  </si>
  <si>
    <t>Sign and Board</t>
  </si>
  <si>
    <t>Signs and Board and Street and Furniture</t>
  </si>
  <si>
    <t>Wall and Flooring and Tiles</t>
  </si>
  <si>
    <t>Water and Sewage and Pumps</t>
  </si>
  <si>
    <t>Wood and Materials</t>
  </si>
  <si>
    <t>Woods and Materials</t>
  </si>
  <si>
    <t>Actuators and Relays</t>
  </si>
  <si>
    <t>Cables and Accessories</t>
  </si>
  <si>
    <t>Control and Panels and</t>
  </si>
  <si>
    <t>Distribution and Board</t>
  </si>
  <si>
    <t>Earthing and Fittings</t>
  </si>
  <si>
    <t>Electric and Cables and Accessories</t>
  </si>
  <si>
    <t>Electrical and Motors</t>
  </si>
  <si>
    <t>Feeder and Pillars</t>
  </si>
  <si>
    <t>Isolators and Disconnectors</t>
  </si>
  <si>
    <t>Lighting and Columns and Fittings</t>
  </si>
  <si>
    <t>Plugs and Connectors</t>
  </si>
  <si>
    <t>Rectifiers and Inverters and Converters</t>
  </si>
  <si>
    <t>Solar and Power and</t>
  </si>
  <si>
    <t>Switches and Fuses and Conduit</t>
  </si>
  <si>
    <t>Terminal and Junction and Boxes</t>
  </si>
  <si>
    <t>Uninterrupted and Power and Systems</t>
  </si>
  <si>
    <t>Cleaning and Detergent</t>
  </si>
  <si>
    <t>Cleaning and Equipment</t>
  </si>
  <si>
    <t>CO2 and Extinguisher</t>
  </si>
  <si>
    <t>Dry and Powder and Extinguisher</t>
  </si>
  <si>
    <t>Fire and Safety and Equipment</t>
  </si>
  <si>
    <t>Fire and Hose and Reels</t>
  </si>
  <si>
    <t>H2S and Gas and Monitor</t>
  </si>
  <si>
    <t>Heat and Detectors</t>
  </si>
  <si>
    <t>Hydro and Carbon and Personnel and Monitors</t>
  </si>
  <si>
    <t>Laboratory and Equipment</t>
  </si>
  <si>
    <t>Lifting and Equipment</t>
  </si>
  <si>
    <t>Medical and Equipment</t>
  </si>
  <si>
    <t>Medical and Equpment</t>
  </si>
  <si>
    <t>Multi and Detectors and Type and Personal and Detector</t>
  </si>
  <si>
    <t>Portable and Multi and Gas and Monitor</t>
  </si>
  <si>
    <t>Self and Contained and Breathing and Apparatus and SCBA</t>
  </si>
  <si>
    <t>Smoke and Detectors</t>
  </si>
  <si>
    <t>Thermal and Detectors</t>
  </si>
  <si>
    <t>Water and Extinguisher and</t>
  </si>
  <si>
    <t>Control and Equipment</t>
  </si>
  <si>
    <t>Control and Valves</t>
  </si>
  <si>
    <t>Control and IPF and Valves</t>
  </si>
  <si>
    <t>Detection and Instruments</t>
  </si>
  <si>
    <t>Field and Sensors</t>
  </si>
  <si>
    <t>Fire and Gas and Detectors</t>
  </si>
  <si>
    <t>Flow and Instruments</t>
  </si>
  <si>
    <t>Hook and Ups</t>
  </si>
  <si>
    <t>Instrument and Cables</t>
  </si>
  <si>
    <t>Instrument and Hook and Ups</t>
  </si>
  <si>
    <t>IPF and Valves</t>
  </si>
  <si>
    <t>Level and Instruments</t>
  </si>
  <si>
    <t>Local and Field and Instruments</t>
  </si>
  <si>
    <t>Metering and Equipment</t>
  </si>
  <si>
    <t>Pressure and Instruments</t>
  </si>
  <si>
    <t>Process and Automation and Systems</t>
  </si>
  <si>
    <t>Remote and Fieldbus</t>
  </si>
  <si>
    <t>Temperature and Instruments</t>
  </si>
  <si>
    <t>Wellhead and Control and Panel</t>
  </si>
  <si>
    <t>Batteries and Accessories</t>
  </si>
  <si>
    <t>Communication and Equipments</t>
  </si>
  <si>
    <t>Computer and Hardware</t>
  </si>
  <si>
    <t>Computer and Peripherals</t>
  </si>
  <si>
    <t>Database and Equipment</t>
  </si>
  <si>
    <t>Global and Positioning and System and GPS and Accessories</t>
  </si>
  <si>
    <t>GPS and Accessories</t>
  </si>
  <si>
    <t>Media and Converter</t>
  </si>
  <si>
    <t>Personal and Communication and Equipment</t>
  </si>
  <si>
    <t>Phones and Fax and and and Accessories</t>
  </si>
  <si>
    <t>Power and Supply and Rectifiers and Covertors and Voltage</t>
  </si>
  <si>
    <t>Printers and Accessories</t>
  </si>
  <si>
    <t>Printers and Toners and amd and Catridges</t>
  </si>
  <si>
    <t>Projectors and Audio and Video and Equipment</t>
  </si>
  <si>
    <t>Radio and Antennas and Towers</t>
  </si>
  <si>
    <t>Radios and Antennas</t>
  </si>
  <si>
    <t>Rcording and and and Messaging and Equipment</t>
  </si>
  <si>
    <t>Security and System</t>
  </si>
  <si>
    <t>Systems and Equipment</t>
  </si>
  <si>
    <t>Towers and Mast and Poles</t>
  </si>
  <si>
    <t>UPS and System</t>
  </si>
  <si>
    <t>CRA and Materials</t>
  </si>
  <si>
    <t>Flexible and Pipes</t>
  </si>
  <si>
    <t>HFW and Carbon and Steel and</t>
  </si>
  <si>
    <t>HSAW and Carbon and Steel</t>
  </si>
  <si>
    <t>Linepipe and Non and Metallic</t>
  </si>
  <si>
    <t>LSAW and Carbon and Steel</t>
  </si>
  <si>
    <t>Seamless and Carbon and Steel</t>
  </si>
  <si>
    <t>Welded and Pipes</t>
  </si>
  <si>
    <t>Automobiles and</t>
  </si>
  <si>
    <t>Food and Products</t>
  </si>
  <si>
    <t>Heaters and Boilers and Furnaces</t>
  </si>
  <si>
    <t>Kitchen and Catering and</t>
  </si>
  <si>
    <t>Office and Furniture and</t>
  </si>
  <si>
    <t>Residential and Furniture</t>
  </si>
  <si>
    <t>Stationery and Items</t>
  </si>
  <si>
    <t>Warehouse and Equipment</t>
  </si>
  <si>
    <t>Workshop and Equipment</t>
  </si>
  <si>
    <t>After and Market</t>
  </si>
  <si>
    <t>Beam and Pumps and</t>
  </si>
  <si>
    <t>Centrifugal and</t>
  </si>
  <si>
    <t>Gas and Turbines</t>
  </si>
  <si>
    <t>Instrument and Air and Compressor and</t>
  </si>
  <si>
    <t>Other and Turbines</t>
  </si>
  <si>
    <t>Steam and Turbines</t>
  </si>
  <si>
    <t>Turbo and Expanders</t>
  </si>
  <si>
    <t>Actuators and Valve</t>
  </si>
  <si>
    <t>Air and Coolers</t>
  </si>
  <si>
    <t>Ball and Valve</t>
  </si>
  <si>
    <t>Burners and Flare and Systems and Flame and arrestors</t>
  </si>
  <si>
    <t>Butterfly and Valve</t>
  </si>
  <si>
    <t>Check and Valve</t>
  </si>
  <si>
    <t>Filter and Separators and Filter and s and Element</t>
  </si>
  <si>
    <t>Fired and Equipment</t>
  </si>
  <si>
    <t>Gaskets and O and rings</t>
  </si>
  <si>
    <t>Gate and Valve</t>
  </si>
  <si>
    <t>Globe and Valve</t>
  </si>
  <si>
    <t>Hoses and Tubes and Pipes</t>
  </si>
  <si>
    <t>Hydraulic and Units</t>
  </si>
  <si>
    <t>Mixers and Crushers and Accumulators</t>
  </si>
  <si>
    <t>Other and Valves</t>
  </si>
  <si>
    <t>Pressure and Vessels and Columns and Reactors and</t>
  </si>
  <si>
    <t>Process and Pipe</t>
  </si>
  <si>
    <t>Relief and Valve</t>
  </si>
  <si>
    <t>Safety and Valve</t>
  </si>
  <si>
    <t>Solenoid and Valve</t>
  </si>
  <si>
    <t>Spades and Spectacle and Blinds</t>
  </si>
  <si>
    <t>Steam and Traps</t>
  </si>
  <si>
    <t>Tanks and Spheres and Accessories</t>
  </si>
  <si>
    <t>Tools and Consumables</t>
  </si>
  <si>
    <t>Unfired and Heat and Exchangers</t>
  </si>
  <si>
    <t>Vessel and Column and Internals</t>
  </si>
  <si>
    <t>BOP and and and Accessories</t>
  </si>
  <si>
    <t>Casing and and and Tubing and</t>
  </si>
  <si>
    <t>Cellarless and Wellhead</t>
  </si>
  <si>
    <t>Christmas and Tree and</t>
  </si>
  <si>
    <t>Completions and Equipment</t>
  </si>
  <si>
    <t>Downhole and Gauges</t>
  </si>
  <si>
    <t>Drilling and Bits</t>
  </si>
  <si>
    <t>ESP and PCP and Pump</t>
  </si>
  <si>
    <t>ESP and Pump</t>
  </si>
  <si>
    <t>Fishing and Repairing and Tool</t>
  </si>
  <si>
    <t>Gaslift and Valves</t>
  </si>
  <si>
    <t>Inflatables and Expandables</t>
  </si>
  <si>
    <t>Liner and Hangers and Assemblies</t>
  </si>
  <si>
    <t>OCTG and Accessories and Inspection and Services</t>
  </si>
  <si>
    <t>Oil and Country and Tubular and Goods</t>
  </si>
  <si>
    <t>Packer and Accessories and</t>
  </si>
  <si>
    <t>Progressive and Cavity and Pumps</t>
  </si>
  <si>
    <t>Rods and Suckers</t>
  </si>
  <si>
    <t>Sand and Control</t>
  </si>
  <si>
    <t>Slickline and Set</t>
  </si>
  <si>
    <t>Slim and Hole and Wellhead and Equipment</t>
  </si>
  <si>
    <t>Wellhead and Valves</t>
  </si>
  <si>
    <t>Wellheads and</t>
  </si>
  <si>
    <t>Wellheads and Accessories</t>
  </si>
  <si>
    <t>Wire and Wrap and and and Pre and Packed and Screens</t>
  </si>
  <si>
    <t>Wireline and Equipment</t>
  </si>
  <si>
    <t>Xmas and Tree and</t>
  </si>
  <si>
    <t>Made-InOman</t>
  </si>
  <si>
    <t>Non-MadeInOman</t>
  </si>
  <si>
    <t>Categories</t>
  </si>
  <si>
    <t>Civil and Services</t>
  </si>
  <si>
    <t>Building and Construction</t>
  </si>
  <si>
    <t>Cathodic and Proctection</t>
  </si>
  <si>
    <t>Digital and Mapping</t>
  </si>
  <si>
    <t>Environmental and Services</t>
  </si>
  <si>
    <t>Control and Automation and Systems and</t>
  </si>
  <si>
    <t>Data and Communication and services</t>
  </si>
  <si>
    <t>Bulk and Hazardous and Liquid</t>
  </si>
  <si>
    <t>Compressor and Services</t>
  </si>
  <si>
    <t>Catering and Services</t>
  </si>
  <si>
    <t>and Maintenance and Services</t>
  </si>
  <si>
    <t>Basis and for and Design and Concept</t>
  </si>
  <si>
    <t>Casing and Tubing and Running and Services and Casing and While and Drilling</t>
  </si>
  <si>
    <t>Electrical and Services</t>
  </si>
  <si>
    <t>Concrete and Services</t>
  </si>
  <si>
    <t>Distribution and System and</t>
  </si>
  <si>
    <t>Exploration and Laboratory and and and Coreshed</t>
  </si>
  <si>
    <t>Fire and Safety and Services</t>
  </si>
  <si>
    <t>Control and Automation and Systems and Services</t>
  </si>
  <si>
    <t>Hosting and Storage and H and S and</t>
  </si>
  <si>
    <t>Cargo and Clearance</t>
  </si>
  <si>
    <t>Compressors and Services</t>
  </si>
  <si>
    <t>Consultancy and Services</t>
  </si>
  <si>
    <t>Flowline and Construction</t>
  </si>
  <si>
    <t>Cementing and Stimulation</t>
  </si>
  <si>
    <t>Earthmoving and Work</t>
  </si>
  <si>
    <t>Electrical and Engineering and Services</t>
  </si>
  <si>
    <t>Field and Surface and Geology</t>
  </si>
  <si>
    <t>Health and Services</t>
  </si>
  <si>
    <t>Control and Room and System</t>
  </si>
  <si>
    <t>IT and Hardware and Maintenance</t>
  </si>
  <si>
    <t>Cargo and Clearance and Services</t>
  </si>
  <si>
    <t>Engine and Services</t>
  </si>
  <si>
    <t>Education and Training and Services</t>
  </si>
  <si>
    <t>GRE and Construction</t>
  </si>
  <si>
    <t>Corrosion and Inspection</t>
  </si>
  <si>
    <t>Coiled and Tubing and Services</t>
  </si>
  <si>
    <t>Health and Safety and and and Environment</t>
  </si>
  <si>
    <t>Estate and Maintenance</t>
  </si>
  <si>
    <t>Electrical and Installation and Testing</t>
  </si>
  <si>
    <t>HSE and Advisory and Services</t>
  </si>
  <si>
    <t>Control and Valve and Maintenance</t>
  </si>
  <si>
    <t>IT and Products and Services</t>
  </si>
  <si>
    <t>Cargo and Management</t>
  </si>
  <si>
    <t>Machine and Services</t>
  </si>
  <si>
    <t>Events and Hotels and Agencies</t>
  </si>
  <si>
    <t>Inspection and Repair</t>
  </si>
  <si>
    <t>Detail and Design and As and Built and</t>
  </si>
  <si>
    <t>Completions and Services</t>
  </si>
  <si>
    <t>Instrumentation and Automation and Services</t>
  </si>
  <si>
    <t>Fire and Detection and Alarm and Installation</t>
  </si>
  <si>
    <t>Electrical and Maintenance</t>
  </si>
  <si>
    <t>Geoinformation and Management</t>
  </si>
  <si>
    <t>Equipment and Maintenance</t>
  </si>
  <si>
    <t>IT and Services and Maintenance</t>
  </si>
  <si>
    <t>Chemicals and Transportation</t>
  </si>
  <si>
    <t>Machining and Services</t>
  </si>
  <si>
    <t>Facility and Maintenance</t>
  </si>
  <si>
    <t>Lining and Coating and</t>
  </si>
  <si>
    <t>Failure and Analysis</t>
  </si>
  <si>
    <t>Coring and Services</t>
  </si>
  <si>
    <t>IT and Services</t>
  </si>
  <si>
    <t>General and Civil and Work</t>
  </si>
  <si>
    <t>Motor and Generators and Services</t>
  </si>
  <si>
    <t>Safety and Services</t>
  </si>
  <si>
    <t>Field and Control and and and Maintenance and</t>
  </si>
  <si>
    <t>IT and Systems and Development and</t>
  </si>
  <si>
    <t>Explosive and Transport and and and Storage</t>
  </si>
  <si>
    <t>Mechanical and Services</t>
  </si>
  <si>
    <t>Facilty and Management and</t>
  </si>
  <si>
    <t>Directional and Drilling</t>
  </si>
  <si>
    <t>Heavy and Civil and Construction</t>
  </si>
  <si>
    <t>OHL and Construction</t>
  </si>
  <si>
    <t>Geological and Services</t>
  </si>
  <si>
    <t>Waste and and and Air and Management and</t>
  </si>
  <si>
    <t>Field and Control and and and Maintenance and Services</t>
  </si>
  <si>
    <t>IT and systems and Management</t>
  </si>
  <si>
    <t>Freight and Forwarding</t>
  </si>
  <si>
    <t>General and Maintenance</t>
  </si>
  <si>
    <t>Pigging and Testing and</t>
  </si>
  <si>
    <t>Inspection and QA and QC</t>
  </si>
  <si>
    <t>Fishing and Milling</t>
  </si>
  <si>
    <t>Heavy and Civil and Contruction</t>
  </si>
  <si>
    <t>OHL and Construction and Services</t>
  </si>
  <si>
    <t>Geophysical and Services</t>
  </si>
  <si>
    <t>Instrument and Services</t>
  </si>
  <si>
    <t>Lifting and Services</t>
  </si>
  <si>
    <t>Plant and Construction</t>
  </si>
  <si>
    <t>Legal and Services</t>
  </si>
  <si>
    <t>Pigging and Testing and Pipeline</t>
  </si>
  <si>
    <t>Gravel and Pack and Services</t>
  </si>
  <si>
    <t>Other and Services</t>
  </si>
  <si>
    <t>Industrial and Coating</t>
  </si>
  <si>
    <t>OHL and Live and Line and Washing</t>
  </si>
  <si>
    <t>Geotechnical and Services</t>
  </si>
  <si>
    <t>Instruments and Services</t>
  </si>
  <si>
    <t>Software and Licenses</t>
  </si>
  <si>
    <t>Lifting and Services and Cranes</t>
  </si>
  <si>
    <t>Plant and Construction and Equipment</t>
  </si>
  <si>
    <t>Media and Services</t>
  </si>
  <si>
    <t>Pipeline and Coating</t>
  </si>
  <si>
    <t>Investigation and Verification</t>
  </si>
  <si>
    <t>H2S and Services</t>
  </si>
  <si>
    <t>Installation and Services</t>
  </si>
  <si>
    <t>Hydrographic and Services</t>
  </si>
  <si>
    <t>Telecom and Equipment and Services</t>
  </si>
  <si>
    <t>Marine and Services</t>
  </si>
  <si>
    <t>Tank and Construction and</t>
  </si>
  <si>
    <t>Office and Management</t>
  </si>
  <si>
    <t>Pipeline and Construction</t>
  </si>
  <si>
    <t>Lab and Testing</t>
  </si>
  <si>
    <t>High and Pressure and Fracturing</t>
  </si>
  <si>
    <t>Irrigation and Services</t>
  </si>
  <si>
    <t>Power and Station and Substation and Construction</t>
  </si>
  <si>
    <t>Hydrographicn and Services</t>
  </si>
  <si>
    <t>Service and Maintenance</t>
  </si>
  <si>
    <t>Materials and Management and</t>
  </si>
  <si>
    <t>Tank and Maintenance</t>
  </si>
  <si>
    <t>Pipeline and Inspection and Repair</t>
  </si>
  <si>
    <t>Land and Rig</t>
  </si>
  <si>
    <t>Project and Engineering and Services</t>
  </si>
  <si>
    <t>Repair and of and Hazardous and Area</t>
  </si>
  <si>
    <t>Integrated and Specialist and Geological and Services</t>
  </si>
  <si>
    <t>Valve and Maintenance</t>
  </si>
  <si>
    <t>Materials and Management and Services</t>
  </si>
  <si>
    <t>Turbine and Services</t>
  </si>
  <si>
    <t>Professional and Services and</t>
  </si>
  <si>
    <t>Pipeline and Linning and</t>
  </si>
  <si>
    <t>Meter and Proving</t>
  </si>
  <si>
    <t>Mud and Sludge and Services</t>
  </si>
  <si>
    <t>Well and Services</t>
  </si>
  <si>
    <t>Special and Electrical and Services</t>
  </si>
  <si>
    <t>Oceanographic and Services</t>
  </si>
  <si>
    <t>Vessel and Construction</t>
  </si>
  <si>
    <t>Security and Services</t>
  </si>
  <si>
    <t>Pipeline and Maintenance</t>
  </si>
  <si>
    <t>NDT and Work</t>
  </si>
  <si>
    <t>Mud and Logging</t>
  </si>
  <si>
    <t>Light and Civil and Construction</t>
  </si>
  <si>
    <t>Switchboard and RMU and Repairs</t>
  </si>
  <si>
    <t>Passenger and Management and Land</t>
  </si>
  <si>
    <t>Vessel and Maintenance</t>
  </si>
  <si>
    <t>Travel and Services</t>
  </si>
  <si>
    <t>RTP and Construction</t>
  </si>
  <si>
    <t>Nitrogen and Services</t>
  </si>
  <si>
    <t>Quantitative and Interpretation</t>
  </si>
  <si>
    <t>Passenger and Management and Aviation</t>
  </si>
  <si>
    <t>Project and Management</t>
  </si>
  <si>
    <t>Remote and Sensing</t>
  </si>
  <si>
    <t>Passenger and Management and Light and Fleet</t>
  </si>
  <si>
    <t>Project and Services and Contract and Services and Handover and IM and Delivery</t>
  </si>
  <si>
    <t>Plugging and Services</t>
  </si>
  <si>
    <t>Plumbing and Services</t>
  </si>
  <si>
    <t>Research and Deployment</t>
  </si>
  <si>
    <t>Passenger and Management and Services and Aviation</t>
  </si>
  <si>
    <t>Technical and Manpower</t>
  </si>
  <si>
    <t>Production and Testing and Monitoring</t>
  </si>
  <si>
    <t>Road and Services</t>
  </si>
  <si>
    <t>Seismic and Acquisition</t>
  </si>
  <si>
    <t>Passenger and Management and Services and Land</t>
  </si>
  <si>
    <t>Troubleshooting and Engineering and Support</t>
  </si>
  <si>
    <t>Resevoir and Services</t>
  </si>
  <si>
    <t>Rock and Blasting and Cutting</t>
  </si>
  <si>
    <t>Seismic and Acquisition and Processing</t>
  </si>
  <si>
    <t>Passenger and Management and Services and Light and Fleet</t>
  </si>
  <si>
    <t>Rig and Inspection</t>
  </si>
  <si>
    <t>Sewage and Treatment</t>
  </si>
  <si>
    <t>Seismic and Processing</t>
  </si>
  <si>
    <t>Rent and Cars</t>
  </si>
  <si>
    <t>Rigless and Intervention</t>
  </si>
  <si>
    <t>Steel and Work</t>
  </si>
  <si>
    <t>Surveying and Mapping</t>
  </si>
  <si>
    <t>Secondary and Logistics</t>
  </si>
  <si>
    <t>Structures and Demolition</t>
  </si>
  <si>
    <t>Special and Services</t>
  </si>
  <si>
    <t>Snubbing and Services</t>
  </si>
  <si>
    <t>Well and Abandonment</t>
  </si>
  <si>
    <t>Well and Analysis</t>
  </si>
  <si>
    <t>Well and Control and Emerg. and</t>
  </si>
  <si>
    <t>Well and Hoist and Services</t>
  </si>
  <si>
    <t>Well and Test</t>
  </si>
  <si>
    <t>Wellheads and Xtrees</t>
  </si>
  <si>
    <t>Wireline and Logging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</si>
</sst>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3" formatCode="_(* #,##0.00_);_(* \(#,##0.00\);_(* &quot;-&quot;??_);_(@_)"/>
    <numFmt numFmtId="164" formatCode="&quot;$&quot;#,##0.00"/>
    <numFmt numFmtId="165" formatCode="#,##0.000"/>
    <numFmt numFmtId="166" formatCode="[$$-409]#,##0.0"/>
    <numFmt numFmtId="167" formatCode="[$$-409]#,##0"/>
    <numFmt numFmtId="168" formatCode="[$$-409]#,##0.000"/>
    <numFmt numFmtId="169" formatCode="#,##0.00\%"/>
    <numFmt numFmtId="170" formatCode="#0.00"/>
  </numFmts>
  <fonts count="61">
    <font>
      <sz val="11"/>
      <color theme="1"/>
      <name val="Calibri"/>
      <family val="2"/>
      <scheme val="minor"/>
    </font>
    <font>
      <sz val="11"/>
      <color theme="1"/>
      <name val="Calibri"/>
      <family val="2"/>
      <scheme val="minor"/>
    </font>
    <font>
      <b/>
      <sz val="11"/>
      <color theme="1"/>
      <name val="Calibri"/>
      <family val="2"/>
      <scheme val="minor"/>
    </font>
    <font>
      <sz val="10"/>
      <color theme="1"/>
      <name val="Calibri"/>
      <family val="2"/>
      <scheme val="minor"/>
    </font>
    <font>
      <b/>
      <sz val="10"/>
      <color theme="1"/>
      <name val="Calibri"/>
      <family val="2"/>
      <scheme val="minor"/>
    </font>
    <font>
      <b/>
      <sz val="11"/>
      <color rgb="FFFF0000"/>
      <name val="Calibri"/>
      <family val="2"/>
      <scheme val="minor"/>
    </font>
    <font>
      <sz val="11"/>
      <name val="Calibri"/>
      <family val="2"/>
      <scheme val="minor"/>
    </font>
    <font>
      <b/>
      <sz val="12"/>
      <color rgb="FFFF0000"/>
      <name val="Calibri"/>
      <family val="2"/>
      <scheme val="minor"/>
    </font>
    <font>
      <sz val="10"/>
      <name val="Arial"/>
      <family val="2"/>
    </font>
    <font>
      <b/>
      <sz val="9"/>
      <color theme="1"/>
      <name val="Calibri"/>
      <family val="2"/>
      <scheme val="minor"/>
    </font>
    <font>
      <b/>
      <sz val="10"/>
      <name val="Calibri"/>
      <family val="2"/>
      <scheme val="minor"/>
    </font>
    <font>
      <b/>
      <sz val="24"/>
      <color rgb="FFC00000"/>
      <name val="Arial"/>
      <family val="2"/>
    </font>
    <font>
      <b/>
      <sz val="11"/>
      <name val="Calibri"/>
      <family val="2"/>
      <scheme val="minor"/>
    </font>
    <font>
      <b/>
      <sz val="9"/>
      <color rgb="FFFF0000"/>
      <name val="Calibri"/>
      <family val="2"/>
      <scheme val="minor"/>
    </font>
    <font>
      <b/>
      <sz val="10"/>
      <color theme="0" tint="-4.9989318521683403E-2"/>
      <name val="Calibri"/>
      <family val="2"/>
      <scheme val="minor"/>
    </font>
    <font>
      <b/>
      <sz val="10"/>
      <color theme="0"/>
      <name val="Calibri"/>
      <family val="2"/>
      <scheme val="minor"/>
    </font>
    <font>
      <b/>
      <sz val="12"/>
      <color theme="0" tint="-4.9989318521683403E-2"/>
      <name val="Calibri"/>
      <family val="2"/>
      <scheme val="minor"/>
    </font>
    <font>
      <b/>
      <sz val="12"/>
      <color theme="0"/>
      <name val="Calibri"/>
      <family val="2"/>
      <scheme val="minor"/>
    </font>
    <font>
      <b/>
      <sz val="9"/>
      <name val="Calibri"/>
      <family val="2"/>
      <scheme val="minor"/>
    </font>
    <font>
      <sz val="11"/>
      <color theme="1"/>
      <name val="+mj-lt"/>
    </font>
    <font>
      <b/>
      <u/>
      <sz val="11"/>
      <color rgb="FF000000"/>
      <name val="Calibri"/>
      <family val="2"/>
      <scheme val="minor"/>
    </font>
    <font>
      <sz val="12"/>
      <name val="Calibri"/>
      <family val="2"/>
      <scheme val="minor"/>
    </font>
    <font>
      <sz val="12"/>
      <color rgb="FFFF0000"/>
      <name val="Calibri"/>
      <family val="2"/>
      <scheme val="minor"/>
    </font>
    <font>
      <sz val="9"/>
      <color rgb="FF000000"/>
      <name val="Calibri"/>
      <family val="2"/>
    </font>
    <font>
      <b/>
      <sz val="16"/>
      <color theme="1"/>
      <name val="Calibri"/>
      <family val="2"/>
      <scheme val="minor"/>
    </font>
    <font>
      <sz val="12"/>
      <color rgb="FF000000"/>
      <name val="Calibri"/>
      <family val="2"/>
    </font>
    <font>
      <b/>
      <u/>
      <sz val="12"/>
      <color rgb="FF000000"/>
      <name val="Calibri"/>
      <family val="2"/>
    </font>
    <font>
      <vertAlign val="superscript"/>
      <sz val="12"/>
      <color rgb="FF000000"/>
      <name val="Calibri"/>
      <family val="2"/>
    </font>
    <font>
      <sz val="10"/>
      <color rgb="FF000000"/>
      <name val="Tahoma"/>
      <family val="2"/>
    </font>
    <font>
      <b/>
      <sz val="10"/>
      <color rgb="FF000000"/>
      <name val="Tahoma"/>
      <family val="2"/>
    </font>
    <font>
      <sz val="10"/>
      <color theme="0"/>
      <name val="Tahoma"/>
      <family val="2"/>
    </font>
    <font>
      <b/>
      <sz val="11"/>
      <color rgb="FFFFFFFF"/>
      <name val="Calibri"/>
      <family val="2"/>
      <scheme val="minor"/>
    </font>
    <font>
      <sz val="8"/>
      <name val="Calibri"/>
      <family val="2"/>
      <scheme val="minor"/>
    </font>
    <font>
      <b/>
      <sz val="11"/>
      <color theme="0"/>
      <name val="Calibri"/>
      <family val="2"/>
      <scheme val="minor"/>
    </font>
    <font>
      <b/>
      <sz val="14"/>
      <color theme="1"/>
      <name val="Calibri"/>
      <family val="2"/>
      <scheme val="minor"/>
    </font>
    <font>
      <b/>
      <sz val="14"/>
      <color theme="0"/>
      <name val="Calibri"/>
      <family val="2"/>
      <scheme val="minor"/>
    </font>
    <font>
      <b/>
      <sz val="14"/>
      <color rgb="FFFF0000"/>
      <name val="Calibri"/>
      <family val="2"/>
      <scheme val="minor"/>
    </font>
    <font>
      <sz val="11"/>
      <color rgb="FFFFFFFF"/>
      <name val="Calibri"/>
      <family val="2"/>
    </font>
    <font>
      <b/>
      <i/>
      <sz val="14"/>
      <name val="Calibri"/>
      <family val="2"/>
      <scheme val="minor"/>
    </font>
    <font>
      <b/>
      <sz val="12"/>
      <color rgb="FFC00000"/>
      <name val="Calibri"/>
      <family val="2"/>
      <scheme val="minor"/>
    </font>
    <font>
      <b/>
      <sz val="11"/>
      <color rgb="FFC00000"/>
      <name val="Calibri"/>
      <family val="2"/>
      <scheme val="minor"/>
    </font>
    <font>
      <sz val="12"/>
      <color theme="1"/>
      <name val="Calibri"/>
      <family val="2"/>
      <scheme val="minor"/>
    </font>
    <font>
      <b/>
      <sz val="16"/>
      <color theme="0"/>
      <name val="Calibri"/>
      <family val="2"/>
      <scheme val="minor"/>
    </font>
    <font>
      <sz val="11"/>
      <color rgb="FF000000"/>
      <name val="Calibri"/>
      <family val="2"/>
    </font>
    <font>
      <b/>
      <sz val="11"/>
      <color rgb="FF000000"/>
      <name val="Calibri"/>
      <family val="2"/>
    </font>
    <font>
      <b/>
      <u/>
      <sz val="11"/>
      <color rgb="FF000000"/>
      <name val="Calibri"/>
      <family val="2"/>
    </font>
    <font>
      <sz val="11"/>
      <color theme="1"/>
      <name val="Calibri"/>
      <family val="2"/>
    </font>
    <font>
      <u/>
      <sz val="11"/>
      <color rgb="FF000000"/>
      <name val="Calibri"/>
      <family val="2"/>
    </font>
    <font>
      <b/>
      <sz val="11"/>
      <color theme="1"/>
      <name val="Calibri"/>
      <family val="2"/>
    </font>
    <font>
      <b/>
      <u/>
      <sz val="11"/>
      <color theme="1"/>
      <name val="Calibri"/>
      <family val="2"/>
    </font>
    <font>
      <b/>
      <sz val="12"/>
      <color theme="1"/>
      <name val="Calibri"/>
      <family val="2"/>
    </font>
    <font>
      <sz val="11"/>
      <color theme="1"/>
      <name val="+mj-lt"/>
      <family val="2"/>
    </font>
    <font>
      <sz val="10"/>
      <color rgb="FF000000"/>
      <name val="Arial"/>
      <family val="2"/>
    </font>
    <font>
      <b/>
      <sz val="10"/>
      <color rgb="FF000000"/>
      <name val="Arial"/>
      <family val="2"/>
    </font>
    <font>
      <b/>
      <sz val="11"/>
      <color rgb="FFFF0000"/>
      <name val="Calibri"/>
      <family val="2"/>
    </font>
    <font>
      <b/>
      <sz val="10"/>
      <color theme="1"/>
      <name val="Calibri"/>
      <family val="2"/>
    </font>
    <font>
      <sz val="10"/>
      <color theme="1"/>
      <name val="Calibri"/>
      <family val="2"/>
    </font>
    <font>
      <b/>
      <u/>
      <sz val="11"/>
      <color rgb="FFFF0000"/>
      <name val="Calibri"/>
      <family val="2"/>
    </font>
    <font>
      <b/>
      <sz val="12"/>
      <color theme="0" tint="-4.9989318521683403E-2"/>
      <name val="Calibri"/>
      <family val="2"/>
    </font>
    <font>
      <b/>
      <i/>
      <sz val="12"/>
      <color rgb="FFFFC000"/>
      <name val="Calibri"/>
      <family val="2"/>
    </font>
    <font>
      <sz val="8"/>
      <color rgb="FF000000"/>
      <name val="Tahoma"/>
      <family val="2"/>
    </font>
  </fonts>
  <fills count="30">
    <fill>
      <patternFill patternType="none"/>
    </fill>
    <fill>
      <patternFill patternType="gray125"/>
    </fill>
    <fill>
      <patternFill patternType="solid">
        <fgColor theme="0"/>
        <bgColor indexed="64"/>
      </patternFill>
    </fill>
    <fill>
      <patternFill patternType="solid">
        <fgColor rgb="FFFFFFCC"/>
        <bgColor indexed="64"/>
      </patternFill>
    </fill>
    <fill>
      <patternFill patternType="solid">
        <fgColor theme="0" tint="-0.249977111117893"/>
        <bgColor indexed="64"/>
      </patternFill>
    </fill>
    <fill>
      <patternFill patternType="solid">
        <fgColor theme="0" tint="-0.14999847407452621"/>
        <bgColor indexed="64"/>
      </patternFill>
    </fill>
    <fill>
      <patternFill patternType="solid">
        <fgColor theme="8" tint="0.59999389629810485"/>
        <bgColor indexed="64"/>
      </patternFill>
    </fill>
    <fill>
      <patternFill patternType="solid">
        <fgColor theme="3" tint="-0.499984740745262"/>
        <bgColor indexed="64"/>
      </patternFill>
    </fill>
    <fill>
      <patternFill patternType="solid">
        <fgColor rgb="FFCCECFF"/>
        <bgColor indexed="64"/>
      </patternFill>
    </fill>
    <fill>
      <patternFill patternType="solid">
        <fgColor theme="4" tint="-0.499984740745262"/>
        <bgColor indexed="64"/>
      </patternFill>
    </fill>
    <fill>
      <patternFill patternType="solid">
        <fgColor rgb="FFE9EBF5"/>
        <bgColor indexed="64"/>
      </patternFill>
    </fill>
    <fill>
      <patternFill patternType="solid">
        <fgColor theme="2" tint="-0.749992370372631"/>
        <bgColor indexed="64"/>
      </patternFill>
    </fill>
    <fill>
      <patternFill patternType="solid">
        <fgColor theme="7" tint="0.79998168889431442"/>
        <bgColor indexed="64"/>
      </patternFill>
    </fill>
    <fill>
      <patternFill patternType="solid">
        <fgColor rgb="FFFFFF00"/>
        <bgColor indexed="64"/>
      </patternFill>
    </fill>
    <fill>
      <patternFill patternType="solid">
        <fgColor rgb="FF228B22"/>
        <bgColor indexed="64"/>
      </patternFill>
    </fill>
    <fill>
      <patternFill patternType="solid">
        <fgColor rgb="FFFFFFFF"/>
        <bgColor indexed="64"/>
      </patternFill>
    </fill>
    <fill>
      <patternFill patternType="solid">
        <fgColor theme="4" tint="0.59999389629810485"/>
        <bgColor theme="4" tint="0.59999389629810485"/>
      </patternFill>
    </fill>
    <fill>
      <patternFill patternType="solid">
        <fgColor theme="4" tint="0.79998168889431442"/>
        <bgColor theme="4" tint="0.79998168889431442"/>
      </patternFill>
    </fill>
    <fill>
      <patternFill patternType="solid">
        <fgColor theme="3" tint="0.79998168889431442"/>
        <bgColor indexed="64"/>
      </patternFill>
    </fill>
    <fill>
      <patternFill patternType="solid">
        <fgColor rgb="FFFFC000"/>
        <bgColor indexed="64"/>
      </patternFill>
    </fill>
    <fill>
      <patternFill patternType="solid">
        <fgColor theme="2" tint="-9.9978637043366805E-2"/>
        <bgColor indexed="64"/>
      </patternFill>
    </fill>
    <fill>
      <patternFill patternType="solid">
        <fgColor theme="9" tint="0.59999389629810485"/>
        <bgColor indexed="64"/>
      </patternFill>
    </fill>
    <fill>
      <patternFill patternType="solid">
        <fgColor rgb="FF00B050"/>
        <bgColor indexed="64"/>
      </patternFill>
    </fill>
    <fill>
      <patternFill patternType="solid">
        <fgColor theme="0" tint="-0.499984740745262"/>
        <bgColor indexed="64"/>
      </patternFill>
    </fill>
    <fill>
      <patternFill patternType="solid">
        <fgColor theme="0" tint="-4.9989318521683403E-2"/>
        <bgColor indexed="64"/>
      </patternFill>
    </fill>
    <fill>
      <patternFill patternType="solid">
        <fgColor rgb="FFD3D3D3"/>
        <bgColor rgb="FFD3D3D3"/>
      </patternFill>
    </fill>
    <fill>
      <patternFill patternType="solid">
        <fgColor theme="5"/>
        <bgColor indexed="64"/>
      </patternFill>
    </fill>
    <fill>
      <patternFill patternType="solid">
        <fgColor rgb="FF00B0F0"/>
        <bgColor indexed="64"/>
      </patternFill>
    </fill>
    <fill>
      <patternFill patternType="solid">
        <fgColor theme="3" tint="-0.249977111117893"/>
        <bgColor indexed="64"/>
      </patternFill>
    </fill>
    <fill>
      <patternFill patternType="solid">
        <fgColor theme="0" tint="-0.34998626667073579"/>
        <bgColor indexed="64"/>
      </patternFill>
    </fill>
  </fills>
  <borders count="100">
    <border>
      <left/>
      <right/>
      <top/>
      <bottom/>
      <diagonal/>
    </border>
    <border>
      <left style="thin">
        <color auto="1"/>
      </left>
      <right/>
      <top style="thin">
        <color auto="1"/>
      </top>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style="thin">
        <color auto="1"/>
      </left>
      <right style="thin">
        <color auto="1"/>
      </right>
      <top style="thin">
        <color auto="1"/>
      </top>
      <bottom style="thin">
        <color auto="1"/>
      </bottom>
      <diagonal/>
    </border>
    <border>
      <left/>
      <right/>
      <top style="medium">
        <color indexed="64"/>
      </top>
      <bottom style="medium">
        <color indexed="64"/>
      </bottom>
      <diagonal/>
    </border>
    <border>
      <left style="thin">
        <color auto="1"/>
      </left>
      <right style="thin">
        <color auto="1"/>
      </right>
      <top/>
      <bottom style="thin">
        <color auto="1"/>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top style="medium">
        <color indexed="64"/>
      </top>
      <bottom style="thin">
        <color auto="1"/>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style="medium">
        <color indexed="64"/>
      </left>
      <right style="thin">
        <color auto="1"/>
      </right>
      <top style="medium">
        <color indexed="64"/>
      </top>
      <bottom style="thin">
        <color auto="1"/>
      </bottom>
      <diagonal/>
    </border>
    <border>
      <left style="thin">
        <color auto="1"/>
      </left>
      <right style="medium">
        <color indexed="64"/>
      </right>
      <top style="medium">
        <color indexed="64"/>
      </top>
      <bottom style="thin">
        <color auto="1"/>
      </bottom>
      <diagonal/>
    </border>
    <border>
      <left style="medium">
        <color indexed="64"/>
      </left>
      <right style="thin">
        <color auto="1"/>
      </right>
      <top style="thin">
        <color auto="1"/>
      </top>
      <bottom style="thin">
        <color auto="1"/>
      </bottom>
      <diagonal/>
    </border>
    <border>
      <left/>
      <right/>
      <top style="thin">
        <color auto="1"/>
      </top>
      <bottom style="thin">
        <color auto="1"/>
      </bottom>
      <diagonal/>
    </border>
    <border>
      <left style="medium">
        <color indexed="64"/>
      </left>
      <right style="medium">
        <color indexed="64"/>
      </right>
      <top/>
      <bottom/>
      <diagonal/>
    </border>
    <border>
      <left/>
      <right style="thin">
        <color auto="1"/>
      </right>
      <top style="thin">
        <color auto="1"/>
      </top>
      <bottom style="medium">
        <color indexed="64"/>
      </bottom>
      <diagonal/>
    </border>
    <border>
      <left/>
      <right/>
      <top style="thin">
        <color auto="1"/>
      </top>
      <bottom style="medium">
        <color indexed="64"/>
      </bottom>
      <diagonal/>
    </border>
    <border>
      <left style="medium">
        <color indexed="64"/>
      </left>
      <right style="medium">
        <color indexed="64"/>
      </right>
      <top/>
      <bottom style="thin">
        <color auto="1"/>
      </bottom>
      <diagonal/>
    </border>
    <border>
      <left style="thin">
        <color auto="1"/>
      </left>
      <right/>
      <top style="medium">
        <color indexed="64"/>
      </top>
      <bottom style="medium">
        <color indexed="64"/>
      </bottom>
      <diagonal/>
    </border>
    <border>
      <left/>
      <right style="medium">
        <color indexed="64"/>
      </right>
      <top style="thin">
        <color auto="1"/>
      </top>
      <bottom style="medium">
        <color indexed="64"/>
      </bottom>
      <diagonal/>
    </border>
    <border>
      <left/>
      <right/>
      <top/>
      <bottom style="medium">
        <color indexed="64"/>
      </bottom>
      <diagonal/>
    </border>
    <border>
      <left style="medium">
        <color indexed="64"/>
      </left>
      <right/>
      <top/>
      <bottom/>
      <diagonal/>
    </border>
    <border>
      <left style="thin">
        <color auto="1"/>
      </left>
      <right/>
      <top/>
      <bottom style="medium">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thin">
        <color auto="1"/>
      </top>
      <bottom style="thin">
        <color auto="1"/>
      </bottom>
      <diagonal/>
    </border>
    <border>
      <left style="thin">
        <color auto="1"/>
      </left>
      <right style="thick">
        <color auto="1"/>
      </right>
      <top style="thin">
        <color auto="1"/>
      </top>
      <bottom style="thin">
        <color auto="1"/>
      </bottom>
      <diagonal/>
    </border>
    <border>
      <left/>
      <right style="medium">
        <color indexed="64"/>
      </right>
      <top style="thin">
        <color auto="1"/>
      </top>
      <bottom/>
      <diagonal/>
    </border>
    <border>
      <left style="thin">
        <color auto="1"/>
      </left>
      <right style="thin">
        <color auto="1"/>
      </right>
      <top style="thin">
        <color auto="1"/>
      </top>
      <bottom/>
      <diagonal/>
    </border>
    <border>
      <left style="thin">
        <color auto="1"/>
      </left>
      <right style="thin">
        <color auto="1"/>
      </right>
      <top/>
      <bottom/>
      <diagonal/>
    </border>
    <border>
      <left/>
      <right/>
      <top style="medium">
        <color indexed="64"/>
      </top>
      <bottom/>
      <diagonal/>
    </border>
    <border>
      <left style="medium">
        <color indexed="64"/>
      </left>
      <right/>
      <top/>
      <bottom style="thin">
        <color auto="1"/>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style="thin">
        <color auto="1"/>
      </top>
      <bottom/>
      <diagonal/>
    </border>
    <border>
      <left style="medium">
        <color rgb="FF000000"/>
      </left>
      <right style="medium">
        <color rgb="FF000000"/>
      </right>
      <top style="medium">
        <color rgb="FF000000"/>
      </top>
      <bottom style="medium">
        <color rgb="FF000000"/>
      </bottom>
      <diagonal/>
    </border>
    <border>
      <left style="thin">
        <color theme="0"/>
      </left>
      <right/>
      <top/>
      <bottom/>
      <diagonal/>
    </border>
    <border>
      <left/>
      <right/>
      <top style="thin">
        <color auto="1"/>
      </top>
      <bottom/>
      <diagonal/>
    </border>
    <border>
      <left style="thin">
        <color auto="1"/>
      </left>
      <right/>
      <top style="thin">
        <color theme="0"/>
      </top>
      <bottom/>
      <diagonal/>
    </border>
    <border>
      <left style="hair">
        <color auto="1"/>
      </left>
      <right style="hair">
        <color auto="1"/>
      </right>
      <top style="hair">
        <color auto="1"/>
      </top>
      <bottom style="hair">
        <color auto="1"/>
      </bottom>
      <diagonal/>
    </border>
    <border>
      <left style="medium">
        <color indexed="64"/>
      </left>
      <right style="thin">
        <color auto="1"/>
      </right>
      <top style="thin">
        <color auto="1"/>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rgb="FF000000"/>
      </left>
      <right/>
      <top/>
      <bottom/>
      <diagonal/>
    </border>
    <border>
      <left/>
      <right style="thin">
        <color rgb="FF000000"/>
      </right>
      <top/>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right/>
      <top style="thin">
        <color rgb="FF000000"/>
      </top>
      <bottom/>
      <diagonal/>
    </border>
    <border>
      <left/>
      <right/>
      <top/>
      <bottom style="thin">
        <color rgb="FF000000"/>
      </bottom>
      <diagonal/>
    </border>
    <border>
      <left style="medium">
        <color indexed="64"/>
      </left>
      <right style="thin">
        <color auto="1"/>
      </right>
      <top/>
      <bottom style="thin">
        <color auto="1"/>
      </bottom>
      <diagonal/>
    </border>
    <border>
      <left style="thin">
        <color auto="1"/>
      </left>
      <right style="thin">
        <color auto="1"/>
      </right>
      <top/>
      <bottom style="medium">
        <color indexed="64"/>
      </bottom>
      <diagonal/>
    </border>
    <border>
      <left style="thin">
        <color auto="1"/>
      </left>
      <right style="medium">
        <color indexed="64"/>
      </right>
      <top style="thin">
        <color auto="1"/>
      </top>
      <bottom style="thin">
        <color auto="1"/>
      </bottom>
      <diagonal/>
    </border>
    <border>
      <left style="thin">
        <color auto="1"/>
      </left>
      <right style="medium">
        <color indexed="64"/>
      </right>
      <top style="thin">
        <color auto="1"/>
      </top>
      <bottom/>
      <diagonal/>
    </border>
    <border>
      <left style="thin">
        <color auto="1"/>
      </left>
      <right style="medium">
        <color indexed="64"/>
      </right>
      <top style="medium">
        <color indexed="64"/>
      </top>
      <bottom style="medium">
        <color indexed="64"/>
      </bottom>
      <diagonal/>
    </border>
    <border>
      <left style="thick">
        <color indexed="64"/>
      </left>
      <right/>
      <top/>
      <bottom/>
      <diagonal/>
    </border>
    <border>
      <left/>
      <right style="thick">
        <color indexed="64"/>
      </right>
      <top/>
      <bottom/>
      <diagonal/>
    </border>
    <border>
      <left style="thick">
        <color indexed="64"/>
      </left>
      <right style="thick">
        <color indexed="64"/>
      </right>
      <top style="thick">
        <color indexed="64"/>
      </top>
      <bottom style="thick">
        <color indexed="64"/>
      </bottom>
      <diagonal/>
    </border>
    <border>
      <left style="thin">
        <color indexed="64"/>
      </left>
      <right style="thin">
        <color auto="1"/>
      </right>
      <top style="medium">
        <color indexed="64"/>
      </top>
      <bottom style="medium">
        <color indexed="64"/>
      </bottom>
      <diagonal/>
    </border>
    <border>
      <left style="thin">
        <color indexed="64"/>
      </left>
      <right/>
      <top/>
      <bottom/>
      <diagonal/>
    </border>
    <border>
      <left style="medium">
        <color rgb="FF000000"/>
      </left>
      <right/>
      <top style="medium">
        <color indexed="64"/>
      </top>
      <bottom style="medium">
        <color indexed="64"/>
      </bottom>
      <diagonal/>
    </border>
    <border>
      <left style="thick">
        <color rgb="FF000000"/>
      </left>
      <right/>
      <top style="thick">
        <color rgb="FF000000"/>
      </top>
      <bottom/>
      <diagonal/>
    </border>
    <border>
      <left/>
      <right/>
      <top style="thick">
        <color rgb="FF000000"/>
      </top>
      <bottom/>
      <diagonal/>
    </border>
    <border>
      <left/>
      <right style="thick">
        <color rgb="FF000000"/>
      </right>
      <top style="thick">
        <color rgb="FF000000"/>
      </top>
      <bottom/>
      <diagonal/>
    </border>
    <border>
      <left style="thick">
        <color rgb="FF000000"/>
      </left>
      <right/>
      <top/>
      <bottom/>
      <diagonal/>
    </border>
    <border>
      <left/>
      <right style="thick">
        <color rgb="FF000000"/>
      </right>
      <top/>
      <bottom/>
      <diagonal/>
    </border>
    <border>
      <left style="thick">
        <color rgb="FF000000"/>
      </left>
      <right/>
      <top/>
      <bottom style="thick">
        <color rgb="FF000000"/>
      </bottom>
      <diagonal/>
    </border>
    <border>
      <left/>
      <right/>
      <top/>
      <bottom style="thick">
        <color rgb="FF000000"/>
      </bottom>
      <diagonal/>
    </border>
    <border>
      <left/>
      <right style="thick">
        <color rgb="FF000000"/>
      </right>
      <top/>
      <bottom style="thick">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top style="medium">
        <color indexed="64"/>
      </top>
      <bottom/>
      <diagonal/>
    </border>
    <border>
      <left style="medium">
        <color rgb="FF000000"/>
      </left>
      <right/>
      <top/>
      <bottom style="medium">
        <color indexed="64"/>
      </bottom>
      <diagonal/>
    </border>
    <border>
      <left/>
      <right style="medium">
        <color rgb="FF000000"/>
      </right>
      <top style="medium">
        <color indexed="64"/>
      </top>
      <bottom style="medium">
        <color indexed="64"/>
      </bottom>
      <diagonal/>
    </border>
    <border>
      <left style="medium">
        <color indexed="64"/>
      </left>
      <right/>
      <top/>
      <bottom style="medium">
        <color rgb="FF000000"/>
      </bottom>
      <diagonal/>
    </border>
    <border>
      <left style="medium">
        <color rgb="FF000000"/>
      </left>
      <right/>
      <top style="medium">
        <color indexed="64"/>
      </top>
      <bottom style="thin">
        <color rgb="FF000000"/>
      </bottom>
      <diagonal/>
    </border>
    <border>
      <left/>
      <right style="medium">
        <color rgb="FF000000"/>
      </right>
      <top style="medium">
        <color indexed="64"/>
      </top>
      <bottom style="thin">
        <color rgb="FF000000"/>
      </bottom>
      <diagonal/>
    </border>
    <border>
      <left style="medium">
        <color indexed="64"/>
      </left>
      <right/>
      <top/>
      <bottom style="thin">
        <color rgb="FF000000"/>
      </bottom>
      <diagonal/>
    </border>
    <border>
      <left style="medium">
        <color rgb="FF000000"/>
      </left>
      <right/>
      <top/>
      <bottom style="medium">
        <color rgb="FF000000"/>
      </bottom>
      <diagonal/>
    </border>
    <border>
      <left/>
      <right/>
      <top/>
      <bottom style="medium">
        <color rgb="FF000000"/>
      </bottom>
      <diagonal/>
    </border>
    <border>
      <left style="medium">
        <color indexed="64"/>
      </left>
      <right style="medium">
        <color indexed="64"/>
      </right>
      <top/>
      <bottom style="medium">
        <color rgb="FF000000"/>
      </bottom>
      <diagonal/>
    </border>
    <border>
      <left style="medium">
        <color rgb="FF000000"/>
      </left>
      <right/>
      <top style="medium">
        <color rgb="FF000000"/>
      </top>
      <bottom/>
      <diagonal/>
    </border>
    <border>
      <left/>
      <right/>
      <top style="medium">
        <color rgb="FF000000"/>
      </top>
      <bottom/>
      <diagonal/>
    </border>
    <border>
      <left/>
      <right style="medium">
        <color rgb="FF000000"/>
      </right>
      <top/>
      <bottom style="medium">
        <color indexed="64"/>
      </bottom>
      <diagonal/>
    </border>
    <border>
      <left style="medium">
        <color rgb="FF000000"/>
      </left>
      <right/>
      <top style="medium">
        <color rgb="FF000000"/>
      </top>
      <bottom style="medium">
        <color indexed="64"/>
      </bottom>
      <diagonal/>
    </border>
    <border>
      <left/>
      <right/>
      <top style="medium">
        <color rgb="FF000000"/>
      </top>
      <bottom style="medium">
        <color indexed="64"/>
      </bottom>
      <diagonal/>
    </border>
    <border>
      <left/>
      <right style="medium">
        <color rgb="FF000000"/>
      </right>
      <top style="medium">
        <color rgb="FF000000"/>
      </top>
      <bottom style="medium">
        <color indexed="64"/>
      </bottom>
      <diagonal/>
    </border>
    <border>
      <left/>
      <right style="medium">
        <color rgb="FF000000"/>
      </right>
      <top style="medium">
        <color indexed="64"/>
      </top>
      <bottom/>
      <diagonal/>
    </border>
    <border>
      <left/>
      <right style="medium">
        <color rgb="FF000000"/>
      </right>
      <top/>
      <bottom style="medium">
        <color rgb="FF000000"/>
      </bottom>
      <diagonal/>
    </border>
    <border>
      <left style="medium">
        <color rgb="FF000000"/>
      </left>
      <right/>
      <top style="medium">
        <color indexed="64"/>
      </top>
      <bottom style="medium">
        <color rgb="FF000000"/>
      </bottom>
      <diagonal/>
    </border>
    <border>
      <left/>
      <right/>
      <top style="medium">
        <color indexed="64"/>
      </top>
      <bottom style="medium">
        <color rgb="FF000000"/>
      </bottom>
      <diagonal/>
    </border>
    <border>
      <left/>
      <right style="medium">
        <color rgb="FF000000"/>
      </right>
      <top style="medium">
        <color indexed="64"/>
      </top>
      <bottom style="medium">
        <color rgb="FF000000"/>
      </bottom>
      <diagonal/>
    </border>
  </borders>
  <cellStyleXfs count="6">
    <xf numFmtId="0" fontId="0" fillId="0" borderId="0"/>
    <xf numFmtId="0" fontId="1" fillId="0" borderId="0"/>
    <xf numFmtId="0" fontId="8" fillId="0" borderId="0"/>
    <xf numFmtId="43" fontId="8" fillId="0" borderId="0" applyFont="0" applyFill="0" applyBorder="0" applyAlignment="0" applyProtection="0"/>
    <xf numFmtId="43" fontId="1" fillId="0" borderId="0" applyFont="0" applyFill="0" applyBorder="0" applyAlignment="0" applyProtection="0"/>
    <xf numFmtId="9" fontId="1" fillId="0" borderId="0" applyFont="0" applyFill="0" applyBorder="0" applyAlignment="0" applyProtection="0"/>
  </cellStyleXfs>
  <cellXfs count="380">
    <xf numFmtId="0" fontId="0" fillId="0" borderId="0" xfId="0"/>
    <xf numFmtId="0" fontId="2" fillId="0" borderId="0" xfId="0" applyFont="1" applyAlignment="1">
      <alignment horizontal="center"/>
    </xf>
    <xf numFmtId="0" fontId="0" fillId="0" borderId="0" xfId="0" applyAlignment="1">
      <alignment horizontal="center"/>
    </xf>
    <xf numFmtId="0" fontId="36" fillId="24" borderId="0" xfId="0" applyNumberFormat="1" applyFont="1" applyFill="1" applyAlignment="1" applyProtection="1">
      <alignment horizontal="center"/>
    </xf>
    <xf numFmtId="0" fontId="36" fillId="24" borderId="27" xfId="0" applyNumberFormat="1" applyFont="1" applyFill="1" applyBorder="1" applyAlignment="1" applyProtection="1">
      <alignment horizontal="center"/>
    </xf>
    <xf numFmtId="0" fontId="35" fillId="23" borderId="0" xfId="0" applyNumberFormat="1" applyFont="1" applyFill="1" applyAlignment="1" applyProtection="1">
      <alignment horizontal="center" vertical="center"/>
    </xf>
    <xf numFmtId="0" fontId="35" fillId="23" borderId="27" xfId="0" applyNumberFormat="1" applyFont="1" applyFill="1" applyBorder="1" applyAlignment="1" applyProtection="1">
      <alignment horizontal="center" vertical="center"/>
    </xf>
    <xf numFmtId="0" fontId="31" fillId="7" borderId="0" xfId="0" applyNumberFormat="1" applyFont="1" applyFill="1" applyAlignment="1" applyProtection="1">
      <alignment horizontal="center" vertical="center" wrapText="1"/>
    </xf>
    <xf numFmtId="0" fontId="37" fillId="23" borderId="53" xfId="0" applyNumberFormat="1" applyFont="1" applyFill="1" applyBorder="1" applyAlignment="1" applyProtection="1">
      <alignment horizontal="center" vertical="center" wrapText="1"/>
    </xf>
    <xf numFmtId="0" fontId="37" fillId="23" borderId="52" xfId="0" applyNumberFormat="1" applyFont="1" applyFill="1" applyBorder="1" applyAlignment="1" applyProtection="1">
      <alignment horizontal="center" vertical="center" wrapText="1"/>
    </xf>
    <xf numFmtId="0" fontId="37" fillId="23" borderId="51" xfId="0" applyNumberFormat="1" applyFont="1" applyFill="1" applyBorder="1" applyAlignment="1" applyProtection="1">
      <alignment horizontal="center" vertical="center" wrapText="1"/>
    </xf>
    <xf numFmtId="0" fontId="37" fillId="9" borderId="57" xfId="0" applyNumberFormat="1" applyFont="1" applyFill="1" applyBorder="1" applyAlignment="1" applyProtection="1">
      <alignment horizontal="center" vertical="center" wrapText="1"/>
    </xf>
    <xf numFmtId="0" fontId="37" fillId="9" borderId="0" xfId="0" applyNumberFormat="1" applyFont="1" applyFill="1" applyAlignment="1" applyProtection="1">
      <alignment horizontal="center" vertical="center" wrapText="1"/>
    </xf>
    <xf numFmtId="0" fontId="37" fillId="9" borderId="56" xfId="0" applyNumberFormat="1" applyFont="1" applyFill="1" applyBorder="1" applyAlignment="1" applyProtection="1">
      <alignment horizontal="center" vertical="center" wrapText="1"/>
    </xf>
    <xf numFmtId="0" fontId="37" fillId="23" borderId="55" xfId="0" applyNumberFormat="1" applyFont="1" applyFill="1" applyBorder="1" applyAlignment="1" applyProtection="1">
      <alignment horizontal="center" vertical="center" wrapText="1"/>
    </xf>
    <xf numFmtId="0" fontId="37" fillId="23" borderId="54" xfId="0" applyNumberFormat="1" applyFont="1" applyFill="1" applyBorder="1" applyAlignment="1" applyProtection="1">
      <alignment horizontal="center" vertical="center" wrapText="1"/>
    </xf>
    <xf numFmtId="0" fontId="37" fillId="23" borderId="50" xfId="0" applyNumberFormat="1" applyFont="1" applyFill="1" applyBorder="1" applyAlignment="1" applyProtection="1">
      <alignment horizontal="center" vertical="center" wrapText="1"/>
    </xf>
    <xf numFmtId="0" fontId="37" fillId="23" borderId="49" xfId="0" applyNumberFormat="1" applyFont="1" applyFill="1" applyBorder="1" applyAlignment="1" applyProtection="1">
      <alignment horizontal="center" vertical="center" wrapText="1"/>
    </xf>
    <xf numFmtId="0" fontId="37" fillId="23" borderId="47" xfId="0" applyNumberFormat="1" applyFont="1" applyFill="1" applyBorder="1" applyAlignment="1" applyProtection="1">
      <alignment horizontal="center" vertical="center" wrapText="1"/>
    </xf>
    <xf numFmtId="0" fontId="37" fillId="23" borderId="46" xfId="0" applyNumberFormat="1" applyFont="1" applyFill="1" applyBorder="1" applyAlignment="1" applyProtection="1">
      <alignment horizontal="center" vertical="center" wrapText="1"/>
    </xf>
    <xf numFmtId="0" fontId="37" fillId="9" borderId="55" xfId="0" applyNumberFormat="1" applyFont="1" applyFill="1" applyBorder="1" applyAlignment="1" applyProtection="1">
      <alignment horizontal="center" vertical="center" wrapText="1"/>
    </xf>
    <xf numFmtId="0" fontId="37" fillId="9" borderId="54" xfId="0" applyNumberFormat="1" applyFont="1" applyFill="1" applyBorder="1" applyAlignment="1" applyProtection="1">
      <alignment horizontal="center" vertical="center" wrapText="1"/>
    </xf>
    <xf numFmtId="0" fontId="37" fillId="9" borderId="50" xfId="0" applyNumberFormat="1" applyFont="1" applyFill="1" applyBorder="1" applyAlignment="1" applyProtection="1">
      <alignment horizontal="center" vertical="center" wrapText="1"/>
    </xf>
    <xf numFmtId="0" fontId="37" fillId="9" borderId="49" xfId="0" applyNumberFormat="1" applyFont="1" applyFill="1" applyBorder="1" applyAlignment="1" applyProtection="1">
      <alignment horizontal="center" vertical="center" wrapText="1"/>
    </xf>
    <xf numFmtId="0" fontId="37" fillId="9" borderId="47" xfId="0" applyNumberFormat="1" applyFont="1" applyFill="1" applyBorder="1" applyAlignment="1" applyProtection="1">
      <alignment horizontal="center" vertical="center" wrapText="1"/>
    </xf>
    <xf numFmtId="0" fontId="37" fillId="9" borderId="46" xfId="0" applyNumberFormat="1" applyFont="1" applyFill="1" applyBorder="1" applyAlignment="1" applyProtection="1">
      <alignment horizontal="center" vertical="center" wrapText="1"/>
    </xf>
    <xf numFmtId="0" fontId="24" fillId="12" borderId="0" xfId="0" applyNumberFormat="1" applyFont="1" applyFill="1" applyAlignment="1" applyProtection="1">
      <alignment horizontal="left"/>
      <protection locked="0"/>
    </xf>
    <xf numFmtId="0" fontId="24" fillId="12" borderId="27" xfId="0" applyNumberFormat="1" applyFont="1" applyFill="1" applyBorder="1" applyAlignment="1" applyProtection="1">
      <alignment horizontal="left"/>
      <protection locked="0"/>
    </xf>
    <xf numFmtId="0" fontId="24" fillId="12" borderId="78" xfId="0" applyNumberFormat="1" applyFont="1" applyFill="1" applyBorder="1" applyAlignment="1" applyProtection="1">
      <alignment horizontal="center"/>
      <protection locked="0"/>
    </xf>
    <xf numFmtId="0" fontId="24" fillId="12" borderId="77" xfId="0" applyNumberFormat="1" applyFont="1" applyFill="1" applyBorder="1" applyAlignment="1" applyProtection="1">
      <alignment horizontal="center"/>
      <protection locked="0"/>
    </xf>
    <xf numFmtId="0" fontId="0" fillId="20" borderId="87" xfId="0" applyNumberFormat="1" applyFill="1" applyBorder="1" applyAlignment="1" applyProtection="1">
      <alignment horizontal="left" vertical="top" wrapText="1"/>
    </xf>
    <xf numFmtId="0" fontId="0" fillId="20" borderId="86" xfId="0" applyNumberFormat="1" applyFill="1" applyBorder="1" applyAlignment="1" applyProtection="1">
      <alignment horizontal="left" vertical="top" wrapText="1"/>
    </xf>
    <xf numFmtId="0" fontId="24" fillId="12" borderId="90" xfId="0" applyNumberFormat="1" applyFont="1" applyFill="1" applyBorder="1" applyAlignment="1" applyProtection="1">
      <alignment horizontal="left"/>
    </xf>
    <xf numFmtId="0" fontId="24" fillId="12" borderId="89" xfId="0" applyNumberFormat="1" applyFont="1" applyFill="1" applyBorder="1" applyAlignment="1" applyProtection="1">
      <alignment horizontal="left"/>
    </xf>
    <xf numFmtId="0" fontId="16" fillId="7" borderId="99" xfId="0" applyNumberFormat="1" applyFont="1" applyFill="1" applyBorder="1" applyAlignment="1" applyProtection="1">
      <alignment horizontal="right" vertical="center"/>
    </xf>
    <xf numFmtId="0" fontId="16" fillId="7" borderId="98" xfId="0" applyNumberFormat="1" applyFont="1" applyFill="1" applyBorder="1" applyAlignment="1" applyProtection="1">
      <alignment horizontal="right" vertical="center"/>
    </xf>
    <xf numFmtId="0" fontId="16" fillId="7" borderId="97" xfId="0" applyNumberFormat="1" applyFont="1" applyFill="1" applyBorder="1" applyAlignment="1" applyProtection="1">
      <alignment horizontal="right" vertical="center"/>
    </xf>
    <xf numFmtId="0" fontId="16" fillId="7" borderId="96" xfId="0" applyNumberFormat="1" applyFont="1" applyFill="1" applyBorder="1" applyAlignment="1" applyProtection="1">
      <alignment horizontal="right" vertical="center"/>
    </xf>
    <xf numFmtId="0" fontId="16" fillId="7" borderId="87" xfId="0" applyNumberFormat="1" applyFont="1" applyFill="1" applyBorder="1" applyAlignment="1" applyProtection="1">
      <alignment horizontal="right" vertical="center"/>
    </xf>
    <xf numFmtId="0" fontId="16" fillId="7" borderId="86" xfId="0" applyNumberFormat="1" applyFont="1" applyFill="1" applyBorder="1" applyAlignment="1" applyProtection="1">
      <alignment horizontal="right" vertical="center"/>
    </xf>
    <xf numFmtId="0" fontId="16" fillId="7" borderId="95" xfId="0" applyNumberFormat="1" applyFont="1" applyFill="1" applyBorder="1" applyAlignment="1" applyProtection="1">
      <alignment horizontal="right" vertical="center"/>
    </xf>
    <xf numFmtId="0" fontId="16" fillId="7" borderId="35" xfId="0" applyNumberFormat="1" applyFont="1" applyFill="1" applyBorder="1" applyAlignment="1" applyProtection="1">
      <alignment horizontal="right" vertical="center"/>
    </xf>
    <xf numFmtId="0" fontId="16" fillId="7" borderId="79" xfId="0" applyNumberFormat="1" applyFont="1" applyFill="1" applyBorder="1" applyAlignment="1" applyProtection="1">
      <alignment horizontal="right" vertical="center"/>
    </xf>
    <xf numFmtId="0" fontId="24" fillId="12" borderId="0" xfId="0" applyNumberFormat="1" applyFont="1" applyFill="1" applyAlignment="1" applyProtection="1">
      <protection locked="0"/>
    </xf>
    <xf numFmtId="0" fontId="24" fillId="12" borderId="0" xfId="0" applyNumberFormat="1" applyFont="1" applyFill="1" applyAlignment="1" applyProtection="1"/>
    <xf numFmtId="0" fontId="24" fillId="12" borderId="27" xfId="0" applyNumberFormat="1" applyFont="1" applyFill="1" applyBorder="1" applyAlignment="1" applyProtection="1"/>
    <xf numFmtId="4" fontId="14" fillId="28" borderId="91" xfId="0" applyNumberFormat="1" applyFont="1" applyFill="1" applyBorder="1" applyAlignment="1" applyProtection="1">
      <alignment horizontal="right" vertical="center"/>
    </xf>
    <xf numFmtId="0" fontId="14" fillId="28" borderId="26" xfId="0" applyNumberFormat="1" applyFont="1" applyFill="1" applyBorder="1" applyAlignment="1" applyProtection="1">
      <alignment horizontal="right" vertical="center"/>
    </xf>
    <xf numFmtId="0" fontId="14" fillId="28" borderId="80" xfId="0" applyNumberFormat="1" applyFont="1" applyFill="1" applyBorder="1" applyAlignment="1" applyProtection="1">
      <alignment horizontal="right" vertical="center"/>
    </xf>
    <xf numFmtId="0" fontId="0" fillId="20" borderId="0" xfId="0" applyNumberFormat="1" applyFill="1" applyAlignment="1" applyProtection="1">
      <alignment horizontal="left" vertical="top" wrapText="1"/>
    </xf>
    <xf numFmtId="0" fontId="0" fillId="20" borderId="27" xfId="0" applyNumberFormat="1" applyFill="1" applyBorder="1" applyAlignment="1" applyProtection="1">
      <alignment horizontal="left" vertical="top" wrapText="1"/>
    </xf>
    <xf numFmtId="0" fontId="0" fillId="5" borderId="0" xfId="0" applyNumberFormat="1" applyFill="1" applyAlignment="1" applyProtection="1">
      <alignment horizontal="left" vertical="top" wrapText="1"/>
    </xf>
    <xf numFmtId="0" fontId="0" fillId="5" borderId="27" xfId="0" applyNumberFormat="1" applyFill="1" applyBorder="1" applyAlignment="1" applyProtection="1">
      <alignment horizontal="left" vertical="top" wrapText="1"/>
    </xf>
    <xf numFmtId="0" fontId="0" fillId="8" borderId="0" xfId="0" applyNumberFormat="1" applyFill="1" applyAlignment="1" applyProtection="1">
      <alignment horizontal="left" vertical="top" wrapText="1"/>
    </xf>
    <xf numFmtId="0" fontId="0" fillId="8" borderId="27" xfId="0" applyNumberFormat="1" applyFill="1" applyBorder="1" applyAlignment="1" applyProtection="1">
      <alignment horizontal="left" vertical="top" wrapText="1"/>
    </xf>
    <xf numFmtId="0" fontId="24" fillId="12" borderId="90" xfId="0" applyNumberFormat="1" applyFont="1" applyFill="1" applyBorder="1" applyAlignment="1" applyProtection="1">
      <alignment horizontal="center"/>
    </xf>
    <xf numFmtId="0" fontId="24" fillId="12" borderId="89" xfId="0" applyNumberFormat="1" applyFont="1" applyFill="1" applyBorder="1" applyAlignment="1" applyProtection="1">
      <alignment horizontal="center"/>
    </xf>
    <xf numFmtId="0" fontId="14" fillId="28" borderId="94" xfId="0" applyNumberFormat="1" applyFont="1" applyFill="1" applyBorder="1" applyAlignment="1" applyProtection="1">
      <alignment horizontal="right" vertical="center"/>
    </xf>
    <xf numFmtId="4" fontId="14" fillId="28" borderId="94" xfId="0" applyNumberFormat="1" applyFont="1" applyFill="1" applyBorder="1" applyAlignment="1" applyProtection="1">
      <alignment horizontal="right" vertical="center"/>
    </xf>
    <xf numFmtId="0" fontId="14" fillId="28" borderId="93" xfId="0" applyNumberFormat="1" applyFont="1" applyFill="1" applyBorder="1" applyAlignment="1" applyProtection="1">
      <alignment horizontal="right" vertical="center"/>
    </xf>
    <xf numFmtId="0" fontId="14" fillId="28" borderId="92" xfId="0" applyNumberFormat="1" applyFont="1" applyFill="1" applyBorder="1" applyAlignment="1" applyProtection="1">
      <alignment horizontal="right" vertical="center"/>
    </xf>
    <xf numFmtId="0" fontId="16" fillId="7" borderId="0" xfId="0" applyNumberFormat="1" applyFont="1" applyFill="1" applyAlignment="1" applyProtection="1">
      <alignment horizontal="center" vertical="center"/>
    </xf>
    <xf numFmtId="0" fontId="38" fillId="5" borderId="81" xfId="0" applyNumberFormat="1" applyFont="1" applyFill="1" applyBorder="1" applyAlignment="1" applyProtection="1">
      <alignment horizontal="center" wrapText="1"/>
    </xf>
    <xf numFmtId="0" fontId="38" fillId="5" borderId="9" xfId="0" applyNumberFormat="1" applyFont="1" applyFill="1" applyBorder="1" applyAlignment="1" applyProtection="1">
      <alignment horizontal="center" wrapText="1"/>
    </xf>
    <xf numFmtId="0" fontId="12" fillId="5" borderId="88" xfId="0" applyNumberFormat="1" applyFont="1" applyFill="1" applyBorder="1" applyAlignment="1" applyProtection="1">
      <alignment horizontal="center" vertical="center"/>
    </xf>
    <xf numFmtId="0" fontId="12" fillId="5" borderId="20" xfId="0" applyNumberFormat="1" applyFont="1" applyFill="1" applyBorder="1" applyAlignment="1" applyProtection="1">
      <alignment horizontal="center" vertical="center"/>
    </xf>
    <xf numFmtId="0" fontId="12" fillId="5" borderId="10" xfId="0" applyNumberFormat="1" applyFont="1" applyFill="1" applyBorder="1" applyAlignment="1" applyProtection="1">
      <alignment horizontal="center" vertical="center"/>
    </xf>
    <xf numFmtId="0" fontId="12" fillId="21" borderId="81" xfId="0" applyNumberFormat="1" applyFont="1" applyFill="1" applyBorder="1" applyAlignment="1" applyProtection="1">
      <alignment horizontal="center"/>
    </xf>
    <xf numFmtId="0" fontId="12" fillId="21" borderId="9" xfId="0" applyNumberFormat="1" applyFont="1" applyFill="1" applyBorder="1" applyAlignment="1" applyProtection="1">
      <alignment horizontal="center"/>
    </xf>
    <xf numFmtId="0" fontId="6" fillId="5" borderId="81" xfId="0" applyNumberFormat="1" applyFont="1" applyFill="1" applyBorder="1" applyAlignment="1" applyProtection="1">
      <alignment horizontal="center" vertical="center" wrapText="1"/>
    </xf>
    <xf numFmtId="0" fontId="6" fillId="5" borderId="6" xfId="0" applyNumberFormat="1" applyFont="1" applyFill="1" applyBorder="1" applyAlignment="1" applyProtection="1">
      <alignment horizontal="center" vertical="center" wrapText="1"/>
    </xf>
    <xf numFmtId="0" fontId="6" fillId="5" borderId="68" xfId="0" applyNumberFormat="1" applyFont="1" applyFill="1" applyBorder="1" applyAlignment="1" applyProtection="1">
      <alignment horizontal="center" vertical="center" wrapText="1"/>
    </xf>
    <xf numFmtId="0" fontId="17" fillId="9" borderId="82" xfId="0" applyNumberFormat="1" applyFont="1" applyFill="1" applyBorder="1" applyAlignment="1" applyProtection="1">
      <alignment horizontal="center" vertical="center" textRotation="90" wrapText="1"/>
    </xf>
    <xf numFmtId="0" fontId="17" fillId="9" borderId="27" xfId="0" applyNumberFormat="1" applyFont="1" applyFill="1" applyBorder="1" applyAlignment="1" applyProtection="1">
      <alignment horizontal="center" vertical="center" textRotation="90" wrapText="1"/>
    </xf>
    <xf numFmtId="0" fontId="17" fillId="9" borderId="37" xfId="0" applyNumberFormat="1" applyFont="1" applyFill="1" applyBorder="1" applyAlignment="1" applyProtection="1">
      <alignment horizontal="center" vertical="center" textRotation="90" wrapText="1"/>
    </xf>
    <xf numFmtId="0" fontId="2" fillId="5" borderId="84" xfId="0" applyNumberFormat="1" applyFont="1" applyFill="1" applyBorder="1" applyAlignment="1" applyProtection="1">
      <alignment horizontal="center"/>
    </xf>
    <xf numFmtId="0" fontId="2" fillId="5" borderId="12" xfId="0" applyNumberFormat="1" applyFont="1" applyFill="1" applyBorder="1" applyAlignment="1" applyProtection="1">
      <alignment horizontal="center"/>
    </xf>
    <xf numFmtId="0" fontId="2" fillId="5" borderId="83" xfId="0" applyNumberFormat="1" applyFont="1" applyFill="1" applyBorder="1" applyAlignment="1" applyProtection="1">
      <alignment horizontal="center"/>
    </xf>
    <xf numFmtId="0" fontId="16" fillId="22" borderId="26" xfId="0" applyNumberFormat="1" applyFont="1" applyFill="1" applyBorder="1" applyAlignment="1" applyProtection="1">
      <alignment horizontal="center" vertical="center"/>
    </xf>
    <xf numFmtId="0" fontId="14" fillId="7" borderId="6" xfId="0" applyNumberFormat="1" applyFont="1" applyFill="1" applyBorder="1" applyAlignment="1" applyProtection="1">
      <alignment horizontal="center" vertical="center"/>
    </xf>
    <xf numFmtId="0" fontId="34" fillId="12" borderId="6" xfId="0" applyNumberFormat="1" applyFont="1" applyFill="1" applyBorder="1" applyAlignment="1" applyProtection="1">
      <alignment horizontal="center"/>
    </xf>
    <xf numFmtId="0" fontId="34" fillId="12" borderId="68" xfId="0" applyNumberFormat="1" applyFont="1" applyFill="1" applyBorder="1" applyAlignment="1" applyProtection="1">
      <alignment horizontal="center"/>
    </xf>
    <xf numFmtId="0" fontId="12" fillId="5" borderId="81" xfId="0" applyNumberFormat="1" applyFont="1" applyFill="1" applyBorder="1" applyAlignment="1" applyProtection="1">
      <alignment horizontal="center"/>
    </xf>
    <xf numFmtId="0" fontId="12" fillId="5" borderId="6" xfId="0" applyNumberFormat="1" applyFont="1" applyFill="1" applyBorder="1" applyAlignment="1" applyProtection="1">
      <alignment horizontal="center"/>
    </xf>
    <xf numFmtId="0" fontId="12" fillId="5" borderId="68" xfId="0" applyNumberFormat="1" applyFont="1" applyFill="1" applyBorder="1" applyAlignment="1" applyProtection="1">
      <alignment horizontal="center"/>
    </xf>
    <xf numFmtId="0" fontId="18" fillId="5" borderId="81" xfId="0" applyNumberFormat="1" applyFont="1" applyFill="1" applyBorder="1" applyAlignment="1" applyProtection="1">
      <alignment horizontal="center"/>
    </xf>
    <xf numFmtId="0" fontId="18" fillId="5" borderId="6" xfId="0" applyNumberFormat="1" applyFont="1" applyFill="1" applyBorder="1" applyAlignment="1" applyProtection="1">
      <alignment horizontal="center"/>
    </xf>
    <xf numFmtId="0" fontId="18" fillId="5" borderId="68" xfId="0" applyNumberFormat="1" applyFont="1" applyFill="1" applyBorder="1" applyAlignment="1" applyProtection="1">
      <alignment horizontal="center"/>
    </xf>
    <xf numFmtId="0" fontId="16" fillId="7" borderId="87" xfId="0" applyNumberFormat="1" applyFont="1" applyFill="1" applyBorder="1" applyAlignment="1" applyProtection="1">
      <alignment horizontal="center" vertical="center"/>
    </xf>
    <xf numFmtId="0" fontId="16" fillId="7" borderId="86" xfId="0" applyNumberFormat="1" applyFont="1" applyFill="1" applyBorder="1" applyAlignment="1" applyProtection="1">
      <alignment horizontal="center" vertical="center"/>
    </xf>
    <xf numFmtId="0" fontId="15" fillId="22" borderId="85" xfId="0" applyNumberFormat="1" applyFont="1" applyFill="1" applyBorder="1" applyAlignment="1" applyProtection="1">
      <alignment horizontal="center" vertical="center" wrapText="1"/>
    </xf>
    <xf numFmtId="0" fontId="15" fillId="22" borderId="27" xfId="0" applyNumberFormat="1" applyFont="1" applyFill="1" applyBorder="1" applyAlignment="1" applyProtection="1">
      <alignment horizontal="center" vertical="center" wrapText="1"/>
    </xf>
    <xf numFmtId="0" fontId="15" fillId="22" borderId="39" xfId="0" applyNumberFormat="1" applyFont="1" applyFill="1" applyBorder="1" applyAlignment="1" applyProtection="1">
      <alignment horizontal="center" vertical="center" wrapText="1"/>
    </xf>
    <xf numFmtId="0" fontId="0" fillId="18" borderId="6" xfId="0" applyNumberFormat="1" applyFill="1" applyBorder="1" applyAlignment="1" applyProtection="1">
      <alignment horizontal="left" vertical="top" wrapText="1"/>
    </xf>
    <xf numFmtId="0" fontId="0" fillId="18" borderId="68" xfId="0" applyNumberFormat="1" applyFill="1" applyBorder="1" applyAlignment="1" applyProtection="1">
      <alignment horizontal="left" vertical="top" wrapText="1"/>
    </xf>
    <xf numFmtId="0" fontId="0" fillId="5" borderId="87" xfId="0" applyNumberFormat="1" applyFill="1" applyBorder="1" applyAlignment="1" applyProtection="1">
      <alignment horizontal="left" vertical="center" wrapText="1"/>
    </xf>
    <xf numFmtId="0" fontId="0" fillId="5" borderId="86" xfId="0" applyNumberFormat="1" applyFill="1" applyBorder="1" applyAlignment="1" applyProtection="1">
      <alignment horizontal="left" vertical="center" wrapText="1"/>
    </xf>
    <xf numFmtId="0" fontId="0" fillId="6" borderId="0" xfId="0" applyNumberFormat="1" applyFill="1" applyAlignment="1" applyProtection="1">
      <alignment horizontal="left" vertical="center" wrapText="1"/>
    </xf>
    <xf numFmtId="0" fontId="0" fillId="6" borderId="27" xfId="0" applyNumberFormat="1" applyFill="1" applyBorder="1" applyAlignment="1" applyProtection="1">
      <alignment horizontal="left" vertical="center" wrapText="1"/>
    </xf>
    <xf numFmtId="0" fontId="16" fillId="7" borderId="35" xfId="0" applyNumberFormat="1" applyFont="1" applyFill="1" applyBorder="1" applyAlignment="1" applyProtection="1">
      <alignment horizontal="center" vertical="center"/>
    </xf>
    <xf numFmtId="0" fontId="16" fillId="7" borderId="79" xfId="0" applyNumberFormat="1" applyFont="1" applyFill="1" applyBorder="1" applyAlignment="1" applyProtection="1">
      <alignment horizontal="center" vertical="center"/>
    </xf>
    <xf numFmtId="0" fontId="0" fillId="0" borderId="53" xfId="0" applyNumberFormat="1" applyFill="1" applyBorder="1" applyAlignment="1" applyProtection="1">
      <protection locked="0"/>
    </xf>
    <xf numFmtId="0" fontId="0" fillId="0" borderId="52" xfId="0" applyNumberFormat="1" applyFill="1" applyBorder="1" applyAlignment="1" applyProtection="1">
      <protection locked="0"/>
    </xf>
    <xf numFmtId="0" fontId="0" fillId="25" borderId="48" xfId="0" applyNumberFormat="1" applyFill="1" applyBorder="1" applyAlignment="1" applyProtection="1">
      <alignment horizontal="center"/>
      <protection locked="0"/>
    </xf>
    <xf numFmtId="0" fontId="24" fillId="12" borderId="78" xfId="0" applyNumberFormat="1" applyFont="1" applyFill="1" applyBorder="1" applyAlignment="1" applyProtection="1">
      <protection locked="0"/>
    </xf>
    <xf numFmtId="0" fontId="24" fillId="12" borderId="77" xfId="0" applyNumberFormat="1" applyFont="1" applyFill="1" applyBorder="1" applyAlignment="1" applyProtection="1">
      <protection locked="0"/>
    </xf>
    <xf numFmtId="0" fontId="0" fillId="4" borderId="26" xfId="0" applyNumberFormat="1" applyFill="1" applyBorder="1" applyAlignment="1" applyProtection="1">
      <alignment horizontal="left" vertical="top" wrapText="1"/>
    </xf>
    <xf numFmtId="0" fontId="0" fillId="4" borderId="80" xfId="0" applyNumberFormat="1" applyFill="1" applyBorder="1" applyAlignment="1" applyProtection="1">
      <alignment horizontal="left" vertical="top" wrapText="1"/>
    </xf>
    <xf numFmtId="0" fontId="0" fillId="5" borderId="26" xfId="0" applyNumberFormat="1" applyFill="1" applyBorder="1" applyAlignment="1" applyProtection="1">
      <alignment horizontal="left" vertical="top" wrapText="1"/>
    </xf>
    <xf numFmtId="0" fontId="0" fillId="5" borderId="80" xfId="0" applyNumberFormat="1" applyFill="1" applyBorder="1" applyAlignment="1" applyProtection="1">
      <alignment horizontal="left" vertical="top" wrapText="1"/>
    </xf>
    <xf numFmtId="0" fontId="0" fillId="6" borderId="35" xfId="0" applyNumberFormat="1" applyFill="1" applyBorder="1" applyAlignment="1" applyProtection="1">
      <alignment horizontal="left" vertical="top" wrapText="1"/>
    </xf>
    <xf numFmtId="0" fontId="0" fillId="6" borderId="79" xfId="0" applyNumberFormat="1" applyFill="1" applyBorder="1" applyAlignment="1" applyProtection="1">
      <alignment horizontal="left" vertical="top" wrapText="1"/>
    </xf>
    <xf numFmtId="0" fontId="24" fillId="12" borderId="78" xfId="0" applyNumberFormat="1" applyFont="1" applyFill="1" applyBorder="1" applyAlignment="1" applyProtection="1">
      <alignment horizontal="center"/>
    </xf>
    <xf numFmtId="0" fontId="24" fillId="12" borderId="77" xfId="0" applyNumberFormat="1" applyFont="1" applyFill="1" applyBorder="1" applyAlignment="1" applyProtection="1">
      <alignment horizontal="center"/>
    </xf>
    <xf numFmtId="0" fontId="33" fillId="28" borderId="6" xfId="0" applyNumberFormat="1" applyFont="1" applyFill="1" applyBorder="1" applyAlignment="1" applyProtection="1">
      <alignment horizontal="right" vertical="center" wrapText="1"/>
    </xf>
    <xf numFmtId="0" fontId="33" fillId="28" borderId="68" xfId="0" applyNumberFormat="1" applyFont="1" applyFill="1" applyBorder="1" applyAlignment="1" applyProtection="1">
      <alignment horizontal="right" vertical="center" wrapText="1"/>
    </xf>
    <xf numFmtId="0" fontId="30" fillId="11" borderId="76" xfId="0" applyNumberFormat="1" applyFont="1" applyFill="1" applyBorder="1" applyAlignment="1" applyProtection="1">
      <alignment horizontal="center" vertical="center" wrapText="1"/>
    </xf>
    <xf numFmtId="0" fontId="30" fillId="11" borderId="75" xfId="0" applyNumberFormat="1" applyFont="1" applyFill="1" applyBorder="1" applyAlignment="1" applyProtection="1">
      <alignment horizontal="center" vertical="center" wrapText="1"/>
    </xf>
    <xf numFmtId="0" fontId="30" fillId="11" borderId="74" xfId="0" applyNumberFormat="1" applyFont="1" applyFill="1" applyBorder="1" applyAlignment="1" applyProtection="1">
      <alignment horizontal="center" vertical="center" wrapText="1"/>
    </xf>
    <xf numFmtId="0" fontId="0" fillId="0" borderId="63" xfId="0" applyBorder="1" applyAlignment="1">
      <alignment wrapText="1"/>
    </xf>
    <xf numFmtId="0" fontId="8" fillId="0" borderId="73" xfId="0" applyNumberFormat="1" applyFont="1" applyFill="1" applyBorder="1" applyAlignment="1" applyProtection="1">
      <alignment horizontal="left" wrapText="1"/>
    </xf>
    <xf numFmtId="0" fontId="8" fillId="0" borderId="0" xfId="0" applyFont="1" applyAlignment="1">
      <alignment horizontal="left" wrapText="1"/>
    </xf>
    <xf numFmtId="0" fontId="8" fillId="0" borderId="72" xfId="0" applyNumberFormat="1" applyFont="1" applyFill="1" applyBorder="1" applyAlignment="1" applyProtection="1">
      <alignment horizontal="left" wrapText="1"/>
    </xf>
    <xf numFmtId="0" fontId="23" fillId="10" borderId="73" xfId="0" applyNumberFormat="1" applyFont="1" applyFill="1" applyBorder="1" applyAlignment="1" applyProtection="1">
      <alignment horizontal="center" wrapText="1"/>
    </xf>
    <xf numFmtId="0" fontId="23" fillId="10" borderId="0" xfId="0" applyNumberFormat="1" applyFont="1" applyFill="1" applyAlignment="1" applyProtection="1">
      <alignment horizontal="center" wrapText="1"/>
    </xf>
    <xf numFmtId="0" fontId="23" fillId="10" borderId="72" xfId="0" applyNumberFormat="1" applyFont="1" applyFill="1" applyBorder="1" applyAlignment="1" applyProtection="1">
      <alignment horizontal="center" wrapText="1"/>
    </xf>
    <xf numFmtId="0" fontId="30" fillId="11" borderId="73" xfId="0" applyNumberFormat="1" applyFont="1" applyFill="1" applyBorder="1" applyAlignment="1" applyProtection="1">
      <alignment horizontal="center" vertical="center" wrapText="1"/>
    </xf>
    <xf numFmtId="0" fontId="30" fillId="11" borderId="0" xfId="0" applyNumberFormat="1" applyFont="1" applyFill="1" applyAlignment="1" applyProtection="1">
      <alignment horizontal="center" vertical="center" wrapText="1"/>
    </xf>
    <xf numFmtId="0" fontId="30" fillId="11" borderId="72" xfId="0" applyNumberFormat="1" applyFont="1" applyFill="1" applyBorder="1" applyAlignment="1" applyProtection="1">
      <alignment horizontal="center" vertical="center" wrapText="1"/>
    </xf>
    <xf numFmtId="0" fontId="24" fillId="12" borderId="73" xfId="0" applyNumberFormat="1" applyFont="1" applyFill="1" applyBorder="1" applyAlignment="1" applyProtection="1">
      <alignment horizontal="center" wrapText="1"/>
      <protection locked="0"/>
    </xf>
    <xf numFmtId="0" fontId="24" fillId="12" borderId="0" xfId="0" applyNumberFormat="1" applyFont="1" applyFill="1" applyAlignment="1" applyProtection="1">
      <alignment horizontal="center" wrapText="1"/>
      <protection locked="0"/>
    </xf>
    <xf numFmtId="0" fontId="24" fillId="12" borderId="72" xfId="0" applyNumberFormat="1" applyFont="1" applyFill="1" applyBorder="1" applyAlignment="1" applyProtection="1">
      <alignment horizontal="center" wrapText="1"/>
      <protection locked="0"/>
    </xf>
    <xf numFmtId="0" fontId="50" fillId="0" borderId="73" xfId="0" applyNumberFormat="1" applyFont="1" applyFill="1" applyBorder="1" applyAlignment="1" applyProtection="1">
      <alignment horizontal="left" vertical="center" wrapText="1"/>
    </xf>
    <xf numFmtId="0" fontId="50" fillId="0" borderId="0" xfId="0" applyFont="1" applyAlignment="1">
      <alignment horizontal="left" vertical="center" wrapText="1"/>
    </xf>
    <xf numFmtId="0" fontId="50" fillId="0" borderId="72" xfId="0" applyNumberFormat="1" applyFont="1" applyFill="1" applyBorder="1" applyAlignment="1" applyProtection="1">
      <alignment horizontal="left" vertical="center" wrapText="1"/>
    </xf>
    <xf numFmtId="0" fontId="41" fillId="5" borderId="73" xfId="0" applyNumberFormat="1" applyFont="1" applyFill="1" applyBorder="1" applyAlignment="1" applyProtection="1">
      <alignment horizontal="left" vertical="center" wrapText="1"/>
    </xf>
    <xf numFmtId="0" fontId="41" fillId="5" borderId="0" xfId="0" applyNumberFormat="1" applyFont="1" applyFill="1" applyAlignment="1" applyProtection="1">
      <alignment horizontal="left" vertical="center" wrapText="1"/>
    </xf>
    <xf numFmtId="0" fontId="41" fillId="5" borderId="72" xfId="0" applyNumberFormat="1" applyFont="1" applyFill="1" applyBorder="1" applyAlignment="1" applyProtection="1">
      <alignment horizontal="left" vertical="center" wrapText="1"/>
    </xf>
    <xf numFmtId="0" fontId="21" fillId="0" borderId="73" xfId="0" applyNumberFormat="1" applyFont="1" applyFill="1" applyBorder="1" applyAlignment="1" applyProtection="1">
      <alignment horizontal="left" wrapText="1"/>
    </xf>
    <xf numFmtId="0" fontId="21" fillId="0" borderId="0" xfId="0" applyNumberFormat="1" applyFont="1" applyFill="1" applyAlignment="1" applyProtection="1">
      <alignment horizontal="left" wrapText="1"/>
    </xf>
    <xf numFmtId="0" fontId="21" fillId="0" borderId="72" xfId="0" applyNumberFormat="1" applyFont="1" applyFill="1" applyBorder="1" applyAlignment="1" applyProtection="1">
      <alignment horizontal="left" wrapText="1"/>
    </xf>
    <xf numFmtId="0" fontId="21" fillId="0" borderId="73" xfId="0" applyNumberFormat="1" applyFont="1" applyFill="1" applyBorder="1" applyAlignment="1" applyProtection="1">
      <alignment vertical="center" wrapText="1"/>
    </xf>
    <xf numFmtId="0" fontId="21" fillId="0" borderId="0" xfId="0" applyNumberFormat="1" applyFont="1" applyFill="1" applyAlignment="1" applyProtection="1">
      <alignment vertical="center" wrapText="1"/>
    </xf>
    <xf numFmtId="0" fontId="21" fillId="0" borderId="72" xfId="0" applyNumberFormat="1" applyFont="1" applyFill="1" applyBorder="1" applyAlignment="1" applyProtection="1">
      <alignment vertical="center" wrapText="1"/>
    </xf>
    <xf numFmtId="0" fontId="22" fillId="5" borderId="73" xfId="0" applyNumberFormat="1" applyFont="1" applyFill="1" applyBorder="1" applyAlignment="1" applyProtection="1">
      <alignment horizontal="left" vertical="center" wrapText="1"/>
    </xf>
    <xf numFmtId="0" fontId="22" fillId="5" borderId="0" xfId="0" applyNumberFormat="1" applyFont="1" applyFill="1" applyAlignment="1" applyProtection="1">
      <alignment horizontal="left" vertical="center" wrapText="1"/>
    </xf>
    <xf numFmtId="0" fontId="22" fillId="5" borderId="72" xfId="0" applyNumberFormat="1" applyFont="1" applyFill="1" applyBorder="1" applyAlignment="1" applyProtection="1">
      <alignment horizontal="left" vertical="center" wrapText="1"/>
    </xf>
    <xf numFmtId="0" fontId="21" fillId="0" borderId="73" xfId="0" applyNumberFormat="1" applyFont="1" applyFill="1" applyBorder="1" applyAlignment="1" applyProtection="1">
      <alignment horizontal="left" vertical="center" wrapText="1"/>
    </xf>
    <xf numFmtId="0" fontId="21" fillId="0" borderId="0" xfId="0" applyFont="1" applyAlignment="1">
      <alignment horizontal="left" vertical="center" wrapText="1"/>
    </xf>
    <xf numFmtId="0" fontId="21" fillId="0" borderId="72" xfId="0" applyNumberFormat="1" applyFont="1" applyFill="1" applyBorder="1" applyAlignment="1" applyProtection="1">
      <alignment horizontal="left" vertical="center" wrapText="1"/>
    </xf>
    <xf numFmtId="0" fontId="20" fillId="0" borderId="73" xfId="0" applyNumberFormat="1" applyFont="1" applyFill="1" applyBorder="1" applyAlignment="1" applyProtection="1">
      <alignment horizontal="left" vertical="center" wrapText="1"/>
    </xf>
    <xf numFmtId="0" fontId="20" fillId="0" borderId="0" xfId="0" applyFont="1" applyAlignment="1">
      <alignment horizontal="left" vertical="center" wrapText="1"/>
    </xf>
    <xf numFmtId="0" fontId="20" fillId="0" borderId="72" xfId="0" applyNumberFormat="1" applyFont="1" applyFill="1" applyBorder="1" applyAlignment="1" applyProtection="1">
      <alignment horizontal="left" vertical="center" wrapText="1"/>
    </xf>
    <xf numFmtId="0" fontId="0" fillId="5" borderId="73" xfId="0" applyNumberFormat="1" applyFill="1" applyBorder="1" applyAlignment="1" applyProtection="1">
      <alignment vertical="center" wrapText="1"/>
    </xf>
    <xf numFmtId="0" fontId="0" fillId="5" borderId="0" xfId="0" applyNumberFormat="1" applyFill="1" applyAlignment="1" applyProtection="1">
      <alignment vertical="center" wrapText="1"/>
    </xf>
    <xf numFmtId="0" fontId="0" fillId="5" borderId="72" xfId="0" applyNumberFormat="1" applyFill="1" applyBorder="1" applyAlignment="1" applyProtection="1">
      <alignment vertical="center" wrapText="1"/>
    </xf>
    <xf numFmtId="0" fontId="6" fillId="0" borderId="73" xfId="0" applyNumberFormat="1" applyFont="1" applyFill="1" applyBorder="1" applyAlignment="1" applyProtection="1">
      <alignment horizontal="left" vertical="center" wrapText="1"/>
    </xf>
    <xf numFmtId="0" fontId="6" fillId="0" borderId="0" xfId="0" applyNumberFormat="1" applyFont="1" applyFill="1" applyAlignment="1" applyProtection="1">
      <alignment horizontal="left" vertical="center" wrapText="1"/>
    </xf>
    <xf numFmtId="0" fontId="6" fillId="0" borderId="72" xfId="0" applyNumberFormat="1" applyFont="1" applyFill="1" applyBorder="1" applyAlignment="1" applyProtection="1">
      <alignment horizontal="left" vertical="center" wrapText="1"/>
    </xf>
    <xf numFmtId="0" fontId="0" fillId="0" borderId="73" xfId="0" applyNumberFormat="1" applyFill="1" applyBorder="1" applyAlignment="1" applyProtection="1">
      <alignment vertical="center" wrapText="1"/>
    </xf>
    <xf numFmtId="0" fontId="0" fillId="0" borderId="0" xfId="0" applyAlignment="1">
      <alignment vertical="center" wrapText="1"/>
    </xf>
    <xf numFmtId="0" fontId="0" fillId="0" borderId="72" xfId="0" applyNumberFormat="1" applyFill="1" applyBorder="1" applyAlignment="1" applyProtection="1">
      <alignment vertical="center" wrapText="1"/>
    </xf>
    <xf numFmtId="0" fontId="0" fillId="0" borderId="73" xfId="0" applyNumberFormat="1" applyFill="1" applyBorder="1" applyAlignment="1" applyProtection="1">
      <alignment horizontal="left" vertical="center" wrapText="1"/>
    </xf>
    <xf numFmtId="0" fontId="0" fillId="0" borderId="0" xfId="0" applyAlignment="1">
      <alignment horizontal="left" vertical="center" wrapText="1"/>
    </xf>
    <xf numFmtId="0" fontId="0" fillId="0" borderId="72" xfId="0" applyNumberFormat="1" applyFill="1" applyBorder="1" applyAlignment="1" applyProtection="1">
      <alignment horizontal="left" vertical="center" wrapText="1"/>
    </xf>
    <xf numFmtId="0" fontId="6" fillId="0" borderId="73" xfId="0" applyNumberFormat="1" applyFont="1" applyFill="1" applyBorder="1" applyAlignment="1" applyProtection="1">
      <alignment vertical="center" wrapText="1"/>
    </xf>
    <xf numFmtId="0" fontId="6" fillId="0" borderId="0" xfId="0" applyNumberFormat="1" applyFont="1" applyFill="1" applyAlignment="1" applyProtection="1">
      <alignment vertical="center" wrapText="1"/>
    </xf>
    <xf numFmtId="0" fontId="6" fillId="0" borderId="72" xfId="0" applyNumberFormat="1" applyFont="1" applyFill="1" applyBorder="1" applyAlignment="1" applyProtection="1">
      <alignment vertical="center" wrapText="1"/>
    </xf>
    <xf numFmtId="0" fontId="24" fillId="12" borderId="73" xfId="0" applyNumberFormat="1" applyFont="1" applyFill="1" applyBorder="1" applyAlignment="1" applyProtection="1">
      <alignment horizontal="center" wrapText="1"/>
    </xf>
    <xf numFmtId="0" fontId="24" fillId="12" borderId="0" xfId="0" applyNumberFormat="1" applyFont="1" applyFill="1" applyAlignment="1" applyProtection="1">
      <alignment horizontal="center" wrapText="1"/>
    </xf>
    <xf numFmtId="0" fontId="24" fillId="12" borderId="72" xfId="0" applyNumberFormat="1" applyFont="1" applyFill="1" applyBorder="1" applyAlignment="1" applyProtection="1">
      <alignment horizontal="center" wrapText="1"/>
    </xf>
    <xf numFmtId="0" fontId="0" fillId="0" borderId="73" xfId="0" applyNumberFormat="1" applyFill="1" applyBorder="1" applyAlignment="1" applyProtection="1"/>
    <xf numFmtId="0" fontId="0" fillId="0" borderId="0" xfId="0"/>
    <xf numFmtId="0" fontId="0" fillId="0" borderId="72" xfId="0" applyNumberFormat="1" applyFill="1" applyBorder="1" applyAlignment="1" applyProtection="1"/>
    <xf numFmtId="0" fontId="0" fillId="0" borderId="73" xfId="0" applyNumberFormat="1" applyFill="1" applyBorder="1" applyAlignment="1" applyProtection="1">
      <alignment wrapText="1"/>
    </xf>
    <xf numFmtId="0" fontId="0" fillId="0" borderId="0" xfId="0" applyAlignment="1">
      <alignment wrapText="1"/>
    </xf>
    <xf numFmtId="0" fontId="0" fillId="0" borderId="72" xfId="0" applyNumberFormat="1" applyFill="1" applyBorder="1" applyAlignment="1" applyProtection="1">
      <alignment wrapText="1"/>
    </xf>
    <xf numFmtId="0" fontId="12" fillId="0" borderId="73" xfId="0" applyNumberFormat="1" applyFont="1" applyFill="1" applyBorder="1" applyAlignment="1" applyProtection="1">
      <alignment vertical="center" wrapText="1"/>
    </xf>
    <xf numFmtId="0" fontId="12" fillId="0" borderId="0" xfId="0" applyNumberFormat="1" applyFont="1" applyFill="1" applyAlignment="1" applyProtection="1">
      <alignment vertical="center" wrapText="1"/>
    </xf>
    <xf numFmtId="0" fontId="12" fillId="0" borderId="72" xfId="0" applyNumberFormat="1" applyFont="1" applyFill="1" applyBorder="1" applyAlignment="1" applyProtection="1">
      <alignment vertical="center" wrapText="1"/>
    </xf>
    <xf numFmtId="0" fontId="11" fillId="3" borderId="73" xfId="0" applyNumberFormat="1" applyFont="1" applyFill="1" applyBorder="1" applyAlignment="1" applyProtection="1">
      <alignment horizontal="center" wrapText="1"/>
    </xf>
    <xf numFmtId="0" fontId="11" fillId="3" borderId="0" xfId="0" applyNumberFormat="1" applyFont="1" applyFill="1" applyAlignment="1" applyProtection="1">
      <alignment horizontal="center" wrapText="1"/>
    </xf>
    <xf numFmtId="0" fontId="11" fillId="3" borderId="72" xfId="0" applyNumberFormat="1" applyFont="1" applyFill="1" applyBorder="1" applyAlignment="1" applyProtection="1">
      <alignment horizontal="center" wrapText="1"/>
    </xf>
    <xf numFmtId="0" fontId="20" fillId="5" borderId="73" xfId="0" applyNumberFormat="1" applyFont="1" applyFill="1" applyBorder="1" applyAlignment="1" applyProtection="1">
      <alignment vertical="center" wrapText="1" readingOrder="1"/>
    </xf>
    <xf numFmtId="0" fontId="20" fillId="5" borderId="0" xfId="0" applyNumberFormat="1" applyFont="1" applyFill="1" applyAlignment="1" applyProtection="1">
      <alignment vertical="center" wrapText="1" readingOrder="1"/>
    </xf>
    <xf numFmtId="0" fontId="20" fillId="5" borderId="72" xfId="0" applyNumberFormat="1" applyFont="1" applyFill="1" applyBorder="1" applyAlignment="1" applyProtection="1">
      <alignment vertical="center" wrapText="1" readingOrder="1"/>
    </xf>
    <xf numFmtId="0" fontId="19" fillId="0" borderId="73" xfId="0" applyNumberFormat="1" applyFont="1" applyFill="1" applyBorder="1" applyAlignment="1" applyProtection="1">
      <alignment horizontal="left" vertical="center" indent="8" readingOrder="1"/>
    </xf>
    <xf numFmtId="0" fontId="19" fillId="0" borderId="0" xfId="0" applyFont="1" applyAlignment="1">
      <alignment horizontal="left" vertical="center" indent="8" readingOrder="1"/>
    </xf>
    <xf numFmtId="0" fontId="19" fillId="0" borderId="72" xfId="0" applyNumberFormat="1" applyFont="1" applyFill="1" applyBorder="1" applyAlignment="1" applyProtection="1">
      <alignment horizontal="left" vertical="center" indent="8" readingOrder="1"/>
    </xf>
    <xf numFmtId="0" fontId="19" fillId="0" borderId="73" xfId="0" applyNumberFormat="1" applyFont="1" applyFill="1" applyBorder="1" applyAlignment="1" applyProtection="1">
      <alignment horizontal="left" vertical="center" wrapText="1" indent="8" readingOrder="1"/>
    </xf>
    <xf numFmtId="0" fontId="19" fillId="0" borderId="0" xfId="0" applyFont="1" applyAlignment="1">
      <alignment horizontal="left" vertical="center" wrapText="1" indent="8" readingOrder="1"/>
    </xf>
    <xf numFmtId="0" fontId="19" fillId="0" borderId="72" xfId="0" applyNumberFormat="1" applyFont="1" applyFill="1" applyBorder="1" applyAlignment="1" applyProtection="1">
      <alignment horizontal="left" vertical="center" wrapText="1" indent="8" readingOrder="1"/>
    </xf>
    <xf numFmtId="0" fontId="0" fillId="5" borderId="73" xfId="0" applyNumberFormat="1" applyFill="1" applyBorder="1" applyAlignment="1" applyProtection="1">
      <alignment wrapText="1"/>
    </xf>
    <xf numFmtId="0" fontId="0" fillId="5" borderId="0" xfId="0" applyNumberFormat="1" applyFill="1" applyAlignment="1" applyProtection="1">
      <alignment wrapText="1"/>
    </xf>
    <xf numFmtId="0" fontId="0" fillId="5" borderId="72" xfId="0" applyNumberFormat="1" applyFill="1" applyBorder="1" applyAlignment="1" applyProtection="1">
      <alignment wrapText="1"/>
    </xf>
    <xf numFmtId="0" fontId="0" fillId="0" borderId="73" xfId="0" applyNumberFormat="1" applyFill="1" applyBorder="1" applyAlignment="1" applyProtection="1">
      <alignment horizontal="left" wrapText="1"/>
    </xf>
    <xf numFmtId="0" fontId="0" fillId="0" borderId="0" xfId="0" applyAlignment="1">
      <alignment horizontal="left" wrapText="1"/>
    </xf>
    <xf numFmtId="0" fontId="0" fillId="0" borderId="72" xfId="0" applyNumberFormat="1" applyFill="1" applyBorder="1" applyAlignment="1" applyProtection="1">
      <alignment horizontal="left" wrapText="1"/>
    </xf>
    <xf numFmtId="0" fontId="19" fillId="0" borderId="73" xfId="0" applyNumberFormat="1" applyFont="1" applyFill="1" applyBorder="1" applyAlignment="1" applyProtection="1">
      <alignment horizontal="left" vertical="center" wrapText="1" readingOrder="1"/>
    </xf>
    <xf numFmtId="0" fontId="19" fillId="0" borderId="0" xfId="0" applyFont="1" applyAlignment="1">
      <alignment horizontal="left" vertical="center" wrapText="1" readingOrder="1"/>
    </xf>
    <xf numFmtId="0" fontId="19" fillId="0" borderId="72" xfId="0" applyNumberFormat="1" applyFont="1" applyFill="1" applyBorder="1" applyAlignment="1" applyProtection="1">
      <alignment horizontal="left" vertical="center" wrapText="1" readingOrder="1"/>
    </xf>
    <xf numFmtId="0" fontId="0" fillId="0" borderId="73" xfId="0" applyNumberFormat="1" applyFill="1" applyBorder="1" applyAlignment="1" applyProtection="1">
      <alignment horizontal="left" wrapText="1" indent="8" readingOrder="1"/>
    </xf>
    <xf numFmtId="0" fontId="0" fillId="0" borderId="0" xfId="0" applyAlignment="1">
      <alignment horizontal="left" wrapText="1" indent="8" readingOrder="1"/>
    </xf>
    <xf numFmtId="0" fontId="0" fillId="0" borderId="72" xfId="0" applyNumberFormat="1" applyFill="1" applyBorder="1" applyAlignment="1" applyProtection="1">
      <alignment horizontal="left" wrapText="1" indent="8" readingOrder="1"/>
    </xf>
    <xf numFmtId="0" fontId="0" fillId="0" borderId="73" xfId="0" applyNumberFormat="1" applyFill="1" applyBorder="1" applyAlignment="1" applyProtection="1">
      <alignment horizontal="left" vertical="center" readingOrder="1"/>
    </xf>
    <xf numFmtId="0" fontId="0" fillId="0" borderId="0" xfId="0" applyAlignment="1">
      <alignment horizontal="left" vertical="center" readingOrder="1"/>
    </xf>
    <xf numFmtId="0" fontId="0" fillId="0" borderId="72" xfId="0" applyNumberFormat="1" applyFill="1" applyBorder="1" applyAlignment="1" applyProtection="1">
      <alignment horizontal="left" vertical="center" readingOrder="1"/>
    </xf>
    <xf numFmtId="0" fontId="0" fillId="0" borderId="73" xfId="0" applyNumberFormat="1" applyFill="1" applyBorder="1" applyAlignment="1" applyProtection="1">
      <alignment horizontal="left" vertical="center" indent="8" readingOrder="1"/>
    </xf>
    <xf numFmtId="0" fontId="0" fillId="0" borderId="0" xfId="0" applyAlignment="1">
      <alignment horizontal="left" vertical="center" indent="8" readingOrder="1"/>
    </xf>
    <xf numFmtId="0" fontId="0" fillId="0" borderId="72" xfId="0" applyNumberFormat="1" applyFill="1" applyBorder="1" applyAlignment="1" applyProtection="1">
      <alignment horizontal="left" vertical="center" indent="8" readingOrder="1"/>
    </xf>
    <xf numFmtId="0" fontId="0" fillId="0" borderId="73" xfId="0" applyNumberFormat="1" applyFill="1" applyBorder="1" applyAlignment="1" applyProtection="1">
      <alignment vertical="center" readingOrder="1"/>
    </xf>
    <xf numFmtId="0" fontId="0" fillId="0" borderId="0" xfId="0" applyAlignment="1">
      <alignment vertical="center" readingOrder="1"/>
    </xf>
    <xf numFmtId="0" fontId="0" fillId="0" borderId="72" xfId="0" applyNumberFormat="1" applyFill="1" applyBorder="1" applyAlignment="1" applyProtection="1">
      <alignment vertical="center" readingOrder="1"/>
    </xf>
    <xf numFmtId="0" fontId="12" fillId="0" borderId="73" xfId="0" applyNumberFormat="1" applyFont="1" applyFill="1" applyBorder="1" applyAlignment="1" applyProtection="1">
      <alignment horizontal="center" vertical="center" wrapText="1" readingOrder="1"/>
    </xf>
    <xf numFmtId="0" fontId="12" fillId="0" borderId="0" xfId="0" applyNumberFormat="1" applyFont="1" applyFill="1" applyAlignment="1" applyProtection="1">
      <alignment horizontal="center" vertical="center" wrapText="1" readingOrder="1"/>
    </xf>
    <xf numFmtId="0" fontId="12" fillId="0" borderId="72" xfId="0" applyNumberFormat="1" applyFont="1" applyFill="1" applyBorder="1" applyAlignment="1" applyProtection="1">
      <alignment horizontal="center" vertical="center" wrapText="1" readingOrder="1"/>
    </xf>
    <xf numFmtId="0" fontId="11" fillId="3" borderId="73" xfId="0" applyNumberFormat="1" applyFont="1" applyFill="1" applyBorder="1" applyAlignment="1" applyProtection="1">
      <alignment horizontal="center"/>
    </xf>
    <xf numFmtId="0" fontId="11" fillId="3" borderId="0" xfId="0" applyNumberFormat="1" applyFont="1" applyFill="1" applyAlignment="1" applyProtection="1">
      <alignment horizontal="center"/>
    </xf>
    <xf numFmtId="0" fontId="11" fillId="3" borderId="72" xfId="0" applyNumberFormat="1" applyFont="1" applyFill="1" applyBorder="1" applyAlignment="1" applyProtection="1">
      <alignment horizontal="center"/>
    </xf>
    <xf numFmtId="0" fontId="24" fillId="12" borderId="71" xfId="0" applyNumberFormat="1" applyFont="1" applyFill="1" applyBorder="1" applyAlignment="1" applyProtection="1">
      <alignment horizontal="center"/>
    </xf>
    <xf numFmtId="0" fontId="24" fillId="12" borderId="70" xfId="0" applyNumberFormat="1" applyFont="1" applyFill="1" applyBorder="1" applyAlignment="1" applyProtection="1">
      <alignment horizontal="center"/>
    </xf>
    <xf numFmtId="0" fontId="24" fillId="12" borderId="69" xfId="0" applyNumberFormat="1" applyFont="1" applyFill="1" applyBorder="1" applyAlignment="1" applyProtection="1">
      <alignment horizontal="center"/>
    </xf>
    <xf numFmtId="0" fontId="0" fillId="2" borderId="73" xfId="0" applyNumberFormat="1" applyFill="1" applyBorder="1" applyAlignment="1" applyProtection="1">
      <alignment horizontal="left" vertical="center" wrapText="1" indent="8" readingOrder="1"/>
    </xf>
    <xf numFmtId="0" fontId="0" fillId="2" borderId="0" xfId="0" applyNumberFormat="1" applyFill="1" applyAlignment="1" applyProtection="1">
      <alignment horizontal="left" vertical="center" wrapText="1" indent="8" readingOrder="1"/>
    </xf>
    <xf numFmtId="0" fontId="0" fillId="2" borderId="72" xfId="0" applyNumberFormat="1" applyFill="1" applyBorder="1" applyAlignment="1" applyProtection="1">
      <alignment horizontal="left" vertical="center" wrapText="1" indent="8" readingOrder="1"/>
    </xf>
    <xf numFmtId="0" fontId="20" fillId="0" borderId="73" xfId="0" applyNumberFormat="1" applyFont="1" applyFill="1" applyBorder="1" applyAlignment="1" applyProtection="1">
      <alignment horizontal="left" vertical="center" wrapText="1" readingOrder="1"/>
    </xf>
    <xf numFmtId="0" fontId="20" fillId="0" borderId="0" xfId="0" applyFont="1" applyAlignment="1">
      <alignment horizontal="left" vertical="center" wrapText="1" readingOrder="1"/>
    </xf>
    <xf numFmtId="0" fontId="20" fillId="0" borderId="72" xfId="0" applyNumberFormat="1" applyFont="1" applyFill="1" applyBorder="1" applyAlignment="1" applyProtection="1">
      <alignment horizontal="left" vertical="center" wrapText="1" readingOrder="1"/>
    </xf>
    <xf numFmtId="0" fontId="41" fillId="0" borderId="73" xfId="0" applyNumberFormat="1" applyFont="1" applyFill="1" applyBorder="1" applyAlignment="1" applyProtection="1">
      <alignment horizontal="left" vertical="center" wrapText="1"/>
    </xf>
    <xf numFmtId="0" fontId="41" fillId="0" borderId="0" xfId="0" applyFont="1" applyAlignment="1">
      <alignment horizontal="left" vertical="center" wrapText="1"/>
    </xf>
    <xf numFmtId="0" fontId="41" fillId="0" borderId="72" xfId="0" applyNumberFormat="1" applyFont="1" applyFill="1" applyBorder="1" applyAlignment="1" applyProtection="1">
      <alignment horizontal="left" vertical="center" wrapText="1"/>
    </xf>
    <xf numFmtId="0" fontId="42" fillId="23" borderId="6" xfId="0" applyNumberFormat="1" applyFont="1" applyFill="1" applyBorder="1" applyAlignment="1" applyProtection="1">
      <alignment horizontal="center"/>
    </xf>
    <xf numFmtId="0" fontId="42" fillId="23" borderId="68" xfId="0" applyNumberFormat="1" applyFont="1" applyFill="1" applyBorder="1" applyAlignment="1" applyProtection="1">
      <alignment horizontal="center"/>
    </xf>
    <xf numFmtId="0" fontId="0" fillId="0" borderId="5" xfId="0" applyBorder="1" applyProtection="1">
      <protection locked="0"/>
    </xf>
    <xf numFmtId="0" fontId="0" fillId="0" borderId="0" xfId="0" applyProtection="1">
      <protection locked="0"/>
    </xf>
    <xf numFmtId="0" fontId="3" fillId="0" borderId="44" xfId="0" applyFont="1" applyBorder="1" applyAlignment="1">
      <alignment horizontal="left" wrapText="1"/>
    </xf>
    <xf numFmtId="0" fontId="3" fillId="0" borderId="44" xfId="0" applyFont="1" applyBorder="1" applyAlignment="1">
      <alignment horizontal="left" vertical="center" wrapText="1"/>
    </xf>
    <xf numFmtId="0" fontId="0" fillId="0" borderId="27" xfId="0" applyBorder="1" applyProtection="1">
      <protection locked="0"/>
    </xf>
    <xf numFmtId="0" fontId="0" fillId="0" borderId="0" xfId="0" applyAlignment="1" applyProtection="1">
      <alignment horizontal="center"/>
      <protection locked="0"/>
    </xf>
    <xf numFmtId="0" fontId="0" fillId="0" borderId="0" xfId="0" applyAlignment="1" applyProtection="1">
      <alignment wrapText="1"/>
      <protection locked="0"/>
    </xf>
    <xf numFmtId="0" fontId="0" fillId="0" borderId="44" xfId="0" applyBorder="1"/>
    <xf numFmtId="0" fontId="3" fillId="0" borderId="0" xfId="0" applyFont="1" applyAlignment="1">
      <alignment horizontal="left" wrapText="1"/>
    </xf>
    <xf numFmtId="0" fontId="0" fillId="0" borderId="35" xfId="0" applyBorder="1" applyAlignment="1" applyProtection="1">
      <alignment horizontal="center" vertical="center"/>
      <protection locked="0"/>
    </xf>
    <xf numFmtId="0" fontId="2" fillId="0" borderId="37" xfId="0" applyFont="1" applyBorder="1" applyProtection="1">
      <protection locked="0"/>
    </xf>
    <xf numFmtId="0" fontId="0" fillId="0" borderId="0" xfId="0" applyAlignment="1" applyProtection="1">
      <alignment horizontal="center" vertical="center"/>
      <protection locked="0"/>
    </xf>
    <xf numFmtId="164" fontId="0" fillId="0" borderId="0" xfId="0" applyNumberFormat="1" applyAlignment="1" applyProtection="1">
      <alignment horizontal="center" vertical="center"/>
      <protection locked="0"/>
    </xf>
    <xf numFmtId="0" fontId="0" fillId="0" borderId="27" xfId="0" applyBorder="1"/>
    <xf numFmtId="9" fontId="0" fillId="0" borderId="0" xfId="0" applyNumberFormat="1" applyAlignment="1" applyProtection="1">
      <alignment horizontal="center"/>
      <protection locked="0"/>
    </xf>
    <xf numFmtId="0" fontId="0" fillId="0" borderId="26" xfId="0" applyBorder="1" applyProtection="1">
      <protection locked="0"/>
    </xf>
    <xf numFmtId="0" fontId="0" fillId="0" borderId="35" xfId="0" applyBorder="1" applyProtection="1">
      <protection locked="0"/>
    </xf>
    <xf numFmtId="0" fontId="24" fillId="0" borderId="0" xfId="0" applyFont="1"/>
    <xf numFmtId="0" fontId="0" fillId="0" borderId="0" xfId="0" applyAlignment="1">
      <alignment horizontal="center"/>
    </xf>
    <xf numFmtId="0" fontId="29" fillId="0" borderId="65" xfId="0" applyFont="1" applyBorder="1" applyAlignment="1">
      <alignment horizontal="justify" vertical="center" wrapText="1"/>
    </xf>
    <xf numFmtId="0" fontId="28" fillId="0" borderId="65" xfId="0" applyFont="1" applyBorder="1" applyAlignment="1">
      <alignment horizontal="justify" vertical="center" wrapText="1"/>
    </xf>
    <xf numFmtId="0" fontId="0" fillId="0" borderId="63" xfId="0" applyBorder="1" applyAlignment="1" applyProtection="1">
      <alignment wrapText="1"/>
      <protection locked="0"/>
    </xf>
    <xf numFmtId="0" fontId="0" fillId="0" borderId="0" xfId="0" applyAlignment="1">
      <alignment wrapText="1"/>
    </xf>
    <xf numFmtId="0" fontId="0" fillId="0" borderId="64" xfId="0" applyBorder="1" applyAlignment="1">
      <alignment wrapText="1"/>
    </xf>
    <xf numFmtId="0" fontId="0" fillId="0" borderId="67" xfId="0" applyBorder="1" applyProtection="1">
      <protection locked="0"/>
    </xf>
    <xf numFmtId="0" fontId="33" fillId="28" borderId="9" xfId="0" applyNumberFormat="1" applyFont="1" applyFill="1" applyBorder="1" applyAlignment="1" applyProtection="1">
      <alignment horizontal="left" vertical="center" wrapText="1"/>
    </xf>
    <xf numFmtId="166" fontId="41" fillId="24" borderId="62" xfId="0" applyNumberFormat="1" applyFont="1" applyFill="1" applyBorder="1" applyAlignment="1" applyProtection="1">
      <alignment horizontal="left" vertical="center" wrapText="1"/>
    </xf>
    <xf numFmtId="49" fontId="41" fillId="24" borderId="62" xfId="0" applyNumberFormat="1" applyFont="1" applyFill="1" applyBorder="1" applyAlignment="1" applyProtection="1">
      <alignment horizontal="left" vertical="center" wrapText="1"/>
    </xf>
    <xf numFmtId="2" fontId="41" fillId="24" borderId="62" xfId="0" applyNumberFormat="1" applyFont="1" applyFill="1" applyBorder="1" applyAlignment="1" applyProtection="1">
      <alignment horizontal="left" vertical="center" wrapText="1"/>
    </xf>
    <xf numFmtId="166" fontId="41" fillId="24" borderId="62" xfId="0" applyNumberFormat="1" applyFont="1" applyFill="1" applyBorder="1" applyAlignment="1" applyProtection="1">
      <alignment horizontal="left" vertical="center" wrapText="1"/>
      <protection locked="0"/>
    </xf>
    <xf numFmtId="0" fontId="0" fillId="2" borderId="0" xfId="0" applyNumberFormat="1" applyFill="1" applyAlignment="1" applyProtection="1">
      <alignment horizontal="left" vertical="center" wrapText="1" indent="8" readingOrder="1"/>
    </xf>
    <xf numFmtId="0" fontId="0" fillId="2" borderId="63" xfId="0" applyNumberFormat="1" applyFill="1" applyBorder="1" applyAlignment="1" applyProtection="1">
      <alignment horizontal="left" vertical="center" wrapText="1" indent="8" readingOrder="1"/>
    </xf>
    <xf numFmtId="0" fontId="0" fillId="2" borderId="64" xfId="0" applyNumberFormat="1" applyFill="1" applyBorder="1" applyAlignment="1" applyProtection="1">
      <alignment horizontal="left" vertical="center" wrapText="1" indent="8" readingOrder="1"/>
    </xf>
    <xf numFmtId="4" fontId="39" fillId="5" borderId="62" xfId="0" applyNumberFormat="1" applyFont="1" applyFill="1" applyBorder="1" applyAlignment="1" applyProtection="1">
      <alignment horizontal="center" vertical="center" wrapText="1"/>
    </xf>
    <xf numFmtId="0" fontId="10" fillId="5" borderId="14" xfId="0" applyNumberFormat="1" applyFont="1" applyFill="1" applyBorder="1" applyAlignment="1" applyProtection="1">
      <alignment horizontal="center" vertical="center" wrapText="1"/>
    </xf>
    <xf numFmtId="0" fontId="4" fillId="5" borderId="14" xfId="0" applyNumberFormat="1" applyFont="1" applyFill="1" applyBorder="1" applyAlignment="1" applyProtection="1">
      <alignment horizontal="center" vertical="center" wrapText="1"/>
    </xf>
    <xf numFmtId="0" fontId="4" fillId="5" borderId="15" xfId="0" applyNumberFormat="1" applyFont="1" applyFill="1" applyBorder="1" applyAlignment="1" applyProtection="1">
      <alignment horizontal="center" vertical="center" wrapText="1"/>
    </xf>
    <xf numFmtId="0" fontId="0" fillId="8" borderId="7" xfId="0" applyNumberFormat="1" applyFill="1" applyBorder="1" applyAlignment="1" applyProtection="1">
      <alignment horizontal="center" vertical="top" wrapText="1"/>
      <protection locked="0"/>
    </xf>
    <xf numFmtId="0" fontId="0" fillId="8" borderId="7" xfId="0" applyNumberFormat="1" applyFill="1" applyBorder="1" applyAlignment="1" applyProtection="1">
      <alignment vertical="top" wrapText="1"/>
      <protection locked="0"/>
    </xf>
    <xf numFmtId="4" fontId="0" fillId="5" borderId="31" xfId="0" applyNumberFormat="1" applyFill="1" applyBorder="1" applyAlignment="1" applyProtection="1">
      <alignment horizontal="center" vertical="top" wrapText="1"/>
      <protection locked="0"/>
    </xf>
    <xf numFmtId="0" fontId="0" fillId="8" borderId="4" xfId="0" applyNumberFormat="1" applyFill="1" applyBorder="1" applyAlignment="1" applyProtection="1">
      <alignment vertical="top" wrapText="1"/>
      <protection locked="0"/>
    </xf>
    <xf numFmtId="0" fontId="0" fillId="8" borderId="4" xfId="0" applyNumberFormat="1" applyFill="1" applyBorder="1" applyAlignment="1" applyProtection="1">
      <alignment horizontal="center" vertical="top" wrapText="1"/>
      <protection locked="0"/>
    </xf>
    <xf numFmtId="4" fontId="0" fillId="0" borderId="0" xfId="0" applyNumberFormat="1" applyFill="1" applyAlignment="1" applyProtection="1">
      <protection locked="0"/>
    </xf>
    <xf numFmtId="0" fontId="17" fillId="5" borderId="10" xfId="0" applyNumberFormat="1" applyFont="1" applyFill="1" applyBorder="1" applyAlignment="1" applyProtection="1">
      <alignment horizontal="center" vertical="center" textRotation="90" wrapText="1"/>
    </xf>
    <xf numFmtId="0" fontId="2" fillId="5" borderId="10" xfId="0" applyNumberFormat="1" applyFont="1" applyFill="1" applyBorder="1" applyAlignment="1" applyProtection="1">
      <alignment horizontal="center" vertical="top" wrapText="1"/>
    </xf>
    <xf numFmtId="0" fontId="17" fillId="5" borderId="23" xfId="0" applyNumberFormat="1" applyFont="1" applyFill="1" applyBorder="1" applyAlignment="1" applyProtection="1">
      <alignment horizontal="center" vertical="center" textRotation="90" wrapText="1"/>
    </xf>
    <xf numFmtId="0" fontId="2" fillId="5" borderId="36" xfId="0" applyNumberFormat="1" applyFont="1" applyFill="1" applyBorder="1" applyAlignment="1" applyProtection="1">
      <alignment horizontal="center" vertical="top" wrapText="1"/>
    </xf>
    <xf numFmtId="0" fontId="12" fillId="5" borderId="29" xfId="0" applyNumberFormat="1" applyFont="1" applyFill="1" applyBorder="1" applyAlignment="1" applyProtection="1">
      <alignment horizontal="center"/>
    </xf>
    <xf numFmtId="0" fontId="7" fillId="5" borderId="33" xfId="0" applyNumberFormat="1" applyFont="1" applyFill="1" applyBorder="1" applyAlignment="1" applyProtection="1">
      <alignment horizontal="center" vertical="center" wrapText="1"/>
    </xf>
    <xf numFmtId="0" fontId="0" fillId="5" borderId="18" xfId="0" applyNumberFormat="1" applyFill="1" applyBorder="1" applyAlignment="1" applyProtection="1">
      <alignment horizontal="center" vertical="top" wrapText="1"/>
    </xf>
    <xf numFmtId="0" fontId="0" fillId="13" borderId="58" xfId="0" applyNumberFormat="1" applyFill="1" applyBorder="1" applyAlignment="1" applyProtection="1">
      <alignment horizontal="center" vertical="top" wrapText="1"/>
      <protection locked="0"/>
    </xf>
    <xf numFmtId="0" fontId="0" fillId="5" borderId="58" xfId="0" applyNumberFormat="1" applyFill="1" applyBorder="1" applyAlignment="1" applyProtection="1">
      <alignment horizontal="center" vertical="top" wrapText="1"/>
    </xf>
    <xf numFmtId="0" fontId="7" fillId="5" borderId="7" xfId="0" applyNumberFormat="1" applyFont="1" applyFill="1" applyBorder="1" applyAlignment="1" applyProtection="1">
      <alignment horizontal="center" vertical="center" wrapText="1"/>
    </xf>
    <xf numFmtId="0" fontId="2" fillId="5" borderId="39" xfId="0" applyNumberFormat="1" applyFont="1" applyFill="1" applyBorder="1" applyAlignment="1" applyProtection="1">
      <alignment vertical="center"/>
    </xf>
    <xf numFmtId="0" fontId="2" fillId="5" borderId="42" xfId="0" applyNumberFormat="1" applyFont="1" applyFill="1" applyBorder="1" applyAlignment="1" applyProtection="1">
      <alignment vertical="center"/>
    </xf>
    <xf numFmtId="0" fontId="2" fillId="5" borderId="32" xfId="0" applyNumberFormat="1" applyFont="1" applyFill="1" applyBorder="1" applyAlignment="1" applyProtection="1">
      <alignment vertical="center"/>
    </xf>
    <xf numFmtId="0" fontId="7" fillId="5" borderId="33" xfId="0" applyNumberFormat="1" applyFont="1" applyFill="1" applyBorder="1" applyAlignment="1" applyProtection="1">
      <alignment horizontal="center" vertical="center"/>
    </xf>
    <xf numFmtId="0" fontId="0" fillId="13" borderId="18" xfId="0" applyNumberFormat="1" applyFill="1" applyBorder="1" applyAlignment="1" applyProtection="1">
      <alignment horizontal="center" vertical="top" wrapText="1"/>
      <protection locked="0"/>
    </xf>
    <xf numFmtId="0" fontId="7" fillId="5" borderId="7" xfId="0" applyNumberFormat="1" applyFont="1" applyFill="1" applyBorder="1" applyAlignment="1" applyProtection="1">
      <alignment horizontal="center" vertical="center"/>
    </xf>
    <xf numFmtId="0" fontId="2" fillId="5" borderId="19" xfId="0" applyNumberFormat="1" applyFont="1" applyFill="1" applyBorder="1" applyAlignment="1" applyProtection="1"/>
    <xf numFmtId="0" fontId="2" fillId="5" borderId="30" xfId="0" applyNumberFormat="1" applyFont="1" applyFill="1" applyBorder="1" applyAlignment="1" applyProtection="1"/>
    <xf numFmtId="0" fontId="0" fillId="5" borderId="19" xfId="0" applyNumberFormat="1" applyFill="1" applyBorder="1" applyAlignment="1" applyProtection="1">
      <alignment horizontal="center" vertical="center"/>
    </xf>
    <xf numFmtId="1" fontId="0" fillId="5" borderId="18" xfId="0" applyNumberFormat="1" applyFill="1" applyBorder="1" applyAlignment="1" applyProtection="1">
      <alignment horizontal="center" vertical="center"/>
    </xf>
    <xf numFmtId="1" fontId="0" fillId="5" borderId="3" xfId="0" applyNumberFormat="1" applyFill="1" applyBorder="1" applyAlignment="1" applyProtection="1">
      <alignment horizontal="center" vertical="center"/>
    </xf>
    <xf numFmtId="0" fontId="0" fillId="5" borderId="30" xfId="0" applyNumberFormat="1" applyFill="1" applyBorder="1" applyAlignment="1" applyProtection="1">
      <alignment horizontal="center" vertical="center"/>
    </xf>
    <xf numFmtId="0" fontId="7" fillId="5" borderId="34" xfId="0" applyNumberFormat="1" applyFont="1" applyFill="1" applyBorder="1" applyAlignment="1" applyProtection="1">
      <alignment horizontal="center" vertical="center" wrapText="1"/>
    </xf>
    <xf numFmtId="0" fontId="7" fillId="5" borderId="59" xfId="0" applyNumberFormat="1" applyFont="1" applyFill="1" applyBorder="1" applyAlignment="1" applyProtection="1">
      <alignment horizontal="center" vertical="center" wrapText="1"/>
    </xf>
    <xf numFmtId="0" fontId="0" fillId="5" borderId="22" xfId="0" applyNumberFormat="1" applyFill="1" applyBorder="1" applyAlignment="1" applyProtection="1">
      <alignment horizontal="center"/>
    </xf>
    <xf numFmtId="9" fontId="0" fillId="5" borderId="13" xfId="0" applyNumberFormat="1" applyFill="1" applyBorder="1" applyAlignment="1" applyProtection="1">
      <alignment horizontal="center"/>
    </xf>
    <xf numFmtId="9" fontId="0" fillId="5" borderId="21" xfId="0" applyNumberFormat="1" applyFill="1" applyBorder="1" applyAlignment="1" applyProtection="1">
      <alignment horizontal="center"/>
    </xf>
    <xf numFmtId="9" fontId="0" fillId="5" borderId="25" xfId="0" applyNumberFormat="1" applyFill="1" applyBorder="1" applyAlignment="1" applyProtection="1">
      <alignment horizontal="center"/>
    </xf>
    <xf numFmtId="0" fontId="0" fillId="26" borderId="29" xfId="0" applyNumberFormat="1" applyFill="1" applyBorder="1" applyAlignment="1" applyProtection="1">
      <alignment wrapText="1"/>
      <protection locked="0"/>
    </xf>
    <xf numFmtId="0" fontId="0" fillId="27" borderId="29" xfId="0" applyNumberFormat="1" applyFill="1" applyBorder="1" applyAlignment="1" applyProtection="1">
      <alignment wrapText="1"/>
      <protection locked="0"/>
    </xf>
    <xf numFmtId="0" fontId="9" fillId="21" borderId="10" xfId="0" applyNumberFormat="1" applyFont="1" applyFill="1" applyBorder="1" applyAlignment="1" applyProtection="1">
      <alignment horizontal="center" vertical="center" wrapText="1"/>
    </xf>
    <xf numFmtId="0" fontId="2" fillId="5" borderId="18" xfId="0" applyNumberFormat="1" applyFont="1" applyFill="1" applyBorder="1" applyAlignment="1" applyProtection="1">
      <alignment vertical="center"/>
    </xf>
    <xf numFmtId="0" fontId="2" fillId="5" borderId="5" xfId="0" applyNumberFormat="1" applyFont="1" applyFill="1" applyBorder="1" applyAlignment="1" applyProtection="1">
      <alignment horizontal="center" vertical="center"/>
    </xf>
    <xf numFmtId="0" fontId="2" fillId="5" borderId="60" xfId="0" applyNumberFormat="1" applyFont="1" applyFill="1" applyBorder="1" applyAlignment="1" applyProtection="1">
      <alignment horizontal="center" vertical="center"/>
    </xf>
    <xf numFmtId="0" fontId="0" fillId="13" borderId="29" xfId="0" applyNumberFormat="1" applyFill="1" applyBorder="1" applyAlignment="1" applyProtection="1">
      <alignment horizontal="center" vertical="top" wrapText="1"/>
      <protection locked="0"/>
    </xf>
    <xf numFmtId="0" fontId="5" fillId="21" borderId="16" xfId="0" applyNumberFormat="1" applyFont="1" applyFill="1" applyBorder="1" applyAlignment="1" applyProtection="1">
      <alignment horizontal="center"/>
    </xf>
    <xf numFmtId="0" fontId="13" fillId="21" borderId="17" xfId="0" applyNumberFormat="1" applyFont="1" applyFill="1" applyBorder="1" applyAlignment="1" applyProtection="1">
      <alignment horizontal="center"/>
    </xf>
    <xf numFmtId="0" fontId="9" fillId="21" borderId="11" xfId="0" applyNumberFormat="1" applyFont="1" applyFill="1" applyBorder="1" applyAlignment="1" applyProtection="1">
      <alignment horizontal="center" vertical="center" wrapText="1"/>
    </xf>
    <xf numFmtId="0" fontId="2" fillId="5" borderId="18" xfId="0" applyNumberFormat="1" applyFont="1" applyFill="1" applyBorder="1" applyAlignment="1" applyProtection="1">
      <alignment horizontal="center" vertical="center"/>
    </xf>
    <xf numFmtId="1" fontId="2" fillId="5" borderId="5" xfId="0" applyNumberFormat="1" applyFont="1" applyFill="1" applyBorder="1" applyAlignment="1" applyProtection="1">
      <alignment horizontal="center" vertical="center"/>
    </xf>
    <xf numFmtId="0" fontId="0" fillId="13" borderId="13" xfId="0" applyNumberFormat="1" applyFill="1" applyBorder="1" applyAlignment="1" applyProtection="1">
      <alignment horizontal="center" vertical="top" wrapText="1"/>
      <protection locked="0"/>
    </xf>
    <xf numFmtId="0" fontId="0" fillId="13" borderId="15" xfId="0" applyNumberFormat="1" applyFill="1" applyBorder="1" applyAlignment="1" applyProtection="1">
      <alignment horizontal="center" vertical="top" wrapText="1"/>
      <protection locked="0"/>
    </xf>
    <xf numFmtId="9" fontId="0" fillId="21" borderId="29" xfId="0" applyNumberFormat="1" applyFill="1" applyBorder="1" applyAlignment="1" applyProtection="1">
      <alignment horizontal="center" vertical="top" wrapText="1"/>
    </xf>
    <xf numFmtId="0" fontId="2" fillId="5" borderId="45" xfId="0" applyNumberFormat="1" applyFont="1" applyFill="1" applyBorder="1" applyAlignment="1" applyProtection="1">
      <alignment horizontal="center"/>
    </xf>
    <xf numFmtId="9" fontId="2" fillId="5" borderId="33" xfId="0" applyNumberFormat="1" applyFont="1" applyFill="1" applyBorder="1" applyAlignment="1" applyProtection="1">
      <alignment horizontal="center"/>
    </xf>
    <xf numFmtId="9" fontId="2" fillId="5" borderId="61" xfId="0" applyNumberFormat="1" applyFont="1" applyFill="1" applyBorder="1" applyAlignment="1" applyProtection="1">
      <alignment horizontal="center"/>
    </xf>
    <xf numFmtId="0" fontId="2" fillId="5" borderId="29" xfId="0" applyNumberFormat="1" applyFont="1" applyFill="1" applyBorder="1" applyAlignment="1" applyProtection="1">
      <alignment horizontal="center" vertical="center" wrapText="1"/>
    </xf>
    <xf numFmtId="0" fontId="38" fillId="5" borderId="29" xfId="0" applyNumberFormat="1" applyFont="1" applyFill="1" applyBorder="1" applyAlignment="1" applyProtection="1">
      <alignment horizontal="center" wrapText="1"/>
    </xf>
    <xf numFmtId="0" fontId="12" fillId="5" borderId="29" xfId="0" applyNumberFormat="1" applyFont="1" applyFill="1" applyBorder="1" applyAlignment="1" applyProtection="1">
      <alignment horizontal="center" wrapText="1"/>
    </xf>
    <xf numFmtId="0" fontId="2" fillId="5" borderId="29" xfId="0" applyNumberFormat="1" applyFont="1" applyFill="1" applyBorder="1" applyAlignment="1" applyProtection="1">
      <alignment vertical="center" wrapText="1"/>
    </xf>
    <xf numFmtId="0" fontId="6" fillId="25" borderId="48" xfId="0" applyNumberFormat="1" applyFont="1" applyFill="1" applyBorder="1" applyAlignment="1" applyProtection="1">
      <alignment horizontal="center"/>
      <protection locked="0"/>
    </xf>
    <xf numFmtId="0" fontId="0" fillId="0" borderId="48" xfId="0" applyNumberFormat="1" applyFill="1" applyBorder="1" applyAlignment="1" applyProtection="1">
      <alignment horizontal="center"/>
      <protection locked="0"/>
    </xf>
    <xf numFmtId="0" fontId="0" fillId="25" borderId="48" xfId="0" applyNumberFormat="1" applyFill="1" applyBorder="1" applyAlignment="1" applyProtection="1">
      <alignment horizontal="center"/>
      <protection locked="0"/>
    </xf>
    <xf numFmtId="169" fontId="0" fillId="25" borderId="48" xfId="0" applyNumberFormat="1" applyFill="1" applyBorder="1" applyAlignment="1" applyProtection="1">
      <alignment horizontal="center"/>
      <protection locked="0"/>
    </xf>
    <xf numFmtId="0" fontId="16" fillId="7" borderId="35" xfId="0" applyNumberFormat="1" applyFont="1" applyFill="1" applyBorder="1" applyAlignment="1" applyProtection="1">
      <alignment vertical="center"/>
    </xf>
    <xf numFmtId="168" fontId="40" fillId="5" borderId="29" xfId="0" applyNumberFormat="1" applyFont="1" applyFill="1" applyBorder="1" applyAlignment="1" applyProtection="1">
      <alignment horizontal="center" vertical="center" wrapText="1"/>
    </xf>
    <xf numFmtId="4" fontId="40" fillId="5" borderId="29" xfId="0" applyNumberFormat="1" applyFont="1" applyFill="1" applyBorder="1" applyAlignment="1" applyProtection="1">
      <alignment horizontal="center" vertical="center" wrapText="1"/>
    </xf>
    <xf numFmtId="0" fontId="2" fillId="5" borderId="5" xfId="0" applyNumberFormat="1" applyFont="1" applyFill="1" applyBorder="1" applyAlignment="1" applyProtection="1">
      <alignment horizontal="center" vertical="center" wrapText="1"/>
    </xf>
    <xf numFmtId="0" fontId="0" fillId="29" borderId="7" xfId="0" applyNumberFormat="1" applyFill="1" applyBorder="1" applyAlignment="1" applyProtection="1">
      <alignment horizontal="center" vertical="top" wrapText="1"/>
    </xf>
    <xf numFmtId="0" fontId="0" fillId="29" borderId="4" xfId="0" applyNumberFormat="1" applyFill="1" applyBorder="1" applyAlignment="1" applyProtection="1">
      <alignment vertical="top" wrapText="1"/>
    </xf>
    <xf numFmtId="4" fontId="0" fillId="8" borderId="4" xfId="0" applyNumberFormat="1" applyFill="1" applyBorder="1" applyAlignment="1" applyProtection="1">
      <alignment vertical="top" wrapText="1"/>
      <protection locked="0"/>
    </xf>
    <xf numFmtId="170" fontId="0" fillId="8" borderId="5" xfId="0" applyNumberFormat="1" applyFill="1" applyBorder="1" applyAlignment="1" applyProtection="1">
      <alignment vertical="top" wrapText="1"/>
      <protection locked="0"/>
    </xf>
    <xf numFmtId="170" fontId="0" fillId="8" borderId="7" xfId="0" applyNumberFormat="1" applyFill="1" applyBorder="1" applyAlignment="1" applyProtection="1">
      <alignment vertical="top" wrapText="1"/>
      <protection locked="0"/>
    </xf>
    <xf numFmtId="0" fontId="0" fillId="2" borderId="0" xfId="0" applyNumberFormat="1" applyFill="1" applyAlignment="1" applyProtection="1">
      <protection locked="0"/>
    </xf>
    <xf numFmtId="0" fontId="24" fillId="2" borderId="35" xfId="0" applyNumberFormat="1" applyFont="1" applyFill="1" applyBorder="1" applyAlignment="1" applyProtection="1">
      <protection locked="0"/>
    </xf>
    <xf numFmtId="0" fontId="24" fillId="2" borderId="38" xfId="0" applyNumberFormat="1" applyFont="1" applyFill="1" applyBorder="1" applyAlignment="1" applyProtection="1">
      <protection locked="0"/>
    </xf>
    <xf numFmtId="0" fontId="2" fillId="5" borderId="66" xfId="0" applyNumberFormat="1" applyFont="1" applyFill="1" applyBorder="1" applyAlignment="1" applyProtection="1">
      <alignment horizontal="center" vertical="center" wrapText="1"/>
    </xf>
    <xf numFmtId="0" fontId="2" fillId="5" borderId="28" xfId="0" applyNumberFormat="1" applyFont="1" applyFill="1" applyBorder="1" applyAlignment="1" applyProtection="1">
      <alignment horizontal="center" vertical="center" wrapText="1"/>
    </xf>
    <xf numFmtId="0" fontId="2" fillId="5" borderId="24" xfId="0" applyNumberFormat="1" applyFont="1" applyFill="1" applyBorder="1" applyAlignment="1" applyProtection="1">
      <alignment horizontal="center" vertical="center" wrapText="1"/>
    </xf>
    <xf numFmtId="0" fontId="0" fillId="8" borderId="5" xfId="0" applyNumberFormat="1" applyFill="1" applyBorder="1" applyAlignment="1" applyProtection="1">
      <alignment horizontal="center" vertical="top" wrapText="1"/>
      <protection locked="0"/>
    </xf>
    <xf numFmtId="0" fontId="0" fillId="8" borderId="3" xfId="0" applyNumberFormat="1" applyFill="1" applyBorder="1" applyAlignment="1" applyProtection="1">
      <alignment horizontal="center" vertical="top" wrapText="1"/>
      <protection locked="0"/>
    </xf>
    <xf numFmtId="0" fontId="0" fillId="29" borderId="5" xfId="0" applyNumberFormat="1" applyFill="1" applyBorder="1" applyAlignment="1" applyProtection="1">
      <alignment horizontal="center" vertical="top" wrapText="1"/>
    </xf>
    <xf numFmtId="4" fontId="0" fillId="8" borderId="7" xfId="0" applyNumberFormat="1" applyFill="1" applyBorder="1" applyAlignment="1" applyProtection="1">
      <alignment vertical="top" wrapText="1"/>
      <protection locked="0"/>
    </xf>
    <xf numFmtId="0" fontId="0" fillId="8" borderId="2" xfId="0" applyNumberFormat="1" applyFill="1" applyBorder="1" applyAlignment="1" applyProtection="1">
      <alignment vertical="top" wrapText="1"/>
      <protection locked="0"/>
    </xf>
    <xf numFmtId="0" fontId="0" fillId="8" borderId="2" xfId="0" applyNumberFormat="1" applyFill="1" applyBorder="1" applyAlignment="1" applyProtection="1">
      <alignment horizontal="center" vertical="top" wrapText="1"/>
      <protection locked="0"/>
    </xf>
    <xf numFmtId="0" fontId="16" fillId="7" borderId="8" xfId="0" applyNumberFormat="1" applyFont="1" applyFill="1" applyBorder="1" applyAlignment="1" applyProtection="1">
      <alignment vertical="center"/>
    </xf>
    <xf numFmtId="0" fontId="16" fillId="7" borderId="26" xfId="0" applyNumberFormat="1" applyFont="1" applyFill="1" applyBorder="1" applyAlignment="1" applyProtection="1">
      <alignment vertical="center"/>
    </xf>
    <xf numFmtId="167" fontId="40" fillId="5" borderId="29" xfId="0" applyNumberFormat="1" applyFont="1" applyFill="1" applyBorder="1" applyAlignment="1" applyProtection="1">
      <alignment horizontal="center" vertical="center" wrapText="1"/>
    </xf>
    <xf numFmtId="0" fontId="2" fillId="5" borderId="26" xfId="0" applyNumberFormat="1" applyFont="1" applyFill="1" applyBorder="1" applyAlignment="1" applyProtection="1">
      <alignment horizontal="center" vertical="center" wrapText="1"/>
    </xf>
    <xf numFmtId="0" fontId="6" fillId="0" borderId="0" xfId="0" applyNumberFormat="1" applyFont="1" applyFill="1" applyAlignment="1" applyProtection="1">
      <alignment horizontal="center" vertical="center" wrapText="1"/>
    </xf>
    <xf numFmtId="0" fontId="6" fillId="0" borderId="0" xfId="0" applyNumberFormat="1" applyFont="1" applyFill="1" applyAlignment="1" applyProtection="1">
      <alignment wrapText="1"/>
    </xf>
    <xf numFmtId="0" fontId="6" fillId="25" borderId="48" xfId="0" applyNumberFormat="1" applyFont="1" applyFill="1" applyBorder="1" applyAlignment="1" applyProtection="1">
      <alignment horizontal="center" vertical="center" wrapText="1"/>
    </xf>
    <xf numFmtId="4" fontId="6" fillId="0" borderId="3" xfId="0" applyNumberFormat="1" applyFont="1" applyFill="1" applyBorder="1" applyAlignment="1" applyProtection="1">
      <alignment horizontal="center" vertical="center" wrapText="1"/>
    </xf>
    <xf numFmtId="0" fontId="6" fillId="25" borderId="7" xfId="0" applyNumberFormat="1" applyFont="1" applyFill="1" applyBorder="1" applyAlignment="1" applyProtection="1">
      <alignment horizontal="center" vertical="center" wrapText="1"/>
    </xf>
    <xf numFmtId="3" fontId="6" fillId="0" borderId="5" xfId="0" applyNumberFormat="1" applyFont="1" applyFill="1" applyBorder="1" applyAlignment="1" applyProtection="1">
      <alignment horizontal="center" vertical="center" wrapText="1"/>
    </xf>
    <xf numFmtId="0" fontId="6" fillId="25" borderId="5" xfId="0" applyNumberFormat="1" applyFont="1" applyFill="1" applyBorder="1" applyAlignment="1" applyProtection="1">
      <alignment horizontal="center" vertical="center" wrapText="1"/>
    </xf>
    <xf numFmtId="165" fontId="6" fillId="0" borderId="5" xfId="0" applyNumberFormat="1" applyFont="1" applyFill="1" applyBorder="1" applyAlignment="1" applyProtection="1">
      <alignment horizontal="center" vertical="center" wrapText="1"/>
    </xf>
    <xf numFmtId="4" fontId="6" fillId="0" borderId="5" xfId="0" applyNumberFormat="1" applyFont="1" applyFill="1" applyBorder="1" applyAlignment="1" applyProtection="1">
      <alignment horizontal="center" vertical="center" wrapText="1"/>
    </xf>
    <xf numFmtId="0" fontId="2" fillId="13" borderId="0" xfId="0" applyNumberFormat="1" applyFont="1" applyFill="1" applyAlignment="1" applyProtection="1"/>
    <xf numFmtId="0" fontId="31" fillId="14" borderId="40" xfId="0" applyNumberFormat="1" applyFont="1" applyFill="1" applyBorder="1" applyAlignment="1" applyProtection="1">
      <alignment horizontal="left" vertical="center" wrapText="1"/>
    </xf>
    <xf numFmtId="0" fontId="33" fillId="13" borderId="0" xfId="0" applyNumberFormat="1" applyFont="1" applyFill="1" applyAlignment="1" applyProtection="1"/>
    <xf numFmtId="0" fontId="33" fillId="13" borderId="41" xfId="0" applyNumberFormat="1" applyFont="1" applyFill="1" applyBorder="1" applyAlignment="1" applyProtection="1"/>
    <xf numFmtId="0" fontId="6" fillId="15" borderId="40" xfId="0" applyNumberFormat="1" applyFont="1" applyFill="1" applyBorder="1" applyAlignment="1" applyProtection="1">
      <alignment horizontal="left" wrapText="1"/>
    </xf>
    <xf numFmtId="0" fontId="0" fillId="16" borderId="1" xfId="0" applyNumberFormat="1" applyFill="1" applyBorder="1" applyAlignment="1" applyProtection="1"/>
    <xf numFmtId="0" fontId="0" fillId="16" borderId="33" xfId="0" applyNumberFormat="1" applyFill="1" applyBorder="1" applyAlignment="1" applyProtection="1"/>
    <xf numFmtId="0" fontId="4" fillId="13" borderId="44" xfId="0" applyNumberFormat="1" applyFont="1" applyFill="1" applyBorder="1" applyAlignment="1" applyProtection="1">
      <alignment horizontal="left" vertical="center"/>
    </xf>
    <xf numFmtId="0" fontId="0" fillId="17" borderId="1" xfId="0" applyNumberFormat="1" applyFill="1" applyBorder="1" applyAlignment="1" applyProtection="1"/>
    <xf numFmtId="0" fontId="3" fillId="18" borderId="44" xfId="0" applyNumberFormat="1" applyFont="1" applyFill="1" applyBorder="1" applyAlignment="1" applyProtection="1">
      <alignment horizontal="left" wrapText="1"/>
    </xf>
    <xf numFmtId="0" fontId="3" fillId="19" borderId="44" xfId="0" applyNumberFormat="1" applyFont="1" applyFill="1" applyBorder="1" applyAlignment="1" applyProtection="1">
      <alignment horizontal="left" wrapText="1"/>
    </xf>
    <xf numFmtId="0" fontId="0" fillId="16" borderId="42" xfId="0" applyNumberFormat="1" applyFill="1" applyBorder="1" applyAlignment="1" applyProtection="1"/>
    <xf numFmtId="0" fontId="0" fillId="16" borderId="2" xfId="0" applyNumberFormat="1" applyFill="1" applyBorder="1" applyAlignment="1" applyProtection="1"/>
    <xf numFmtId="0" fontId="0" fillId="16" borderId="43" xfId="0" applyNumberFormat="1" applyFill="1" applyBorder="1" applyAlignment="1" applyProtection="1"/>
    <xf numFmtId="0" fontId="3" fillId="19" borderId="44" xfId="0" applyNumberFormat="1" applyFont="1" applyFill="1" applyBorder="1" applyAlignment="1" applyProtection="1">
      <alignment horizontal="left" vertical="center" wrapText="1"/>
    </xf>
    <xf numFmtId="0" fontId="2" fillId="0" borderId="0" xfId="0" applyNumberFormat="1" applyFont="1" applyFill="1" applyAlignment="1" applyProtection="1"/>
  </cellXfs>
  <cellStyles count="6">
    <cellStyle name="Comma 2" xfId="3" xr:uid="{00000000-0005-0000-0000-000001000000}"/>
    <cellStyle name="Comma 9" xfId="4" xr:uid="{00000000-0005-0000-0000-000002000000}"/>
    <cellStyle name="Normal" xfId="0" builtinId="0"/>
    <cellStyle name="Normal 2" xfId="2" xr:uid="{00000000-0005-0000-0000-000004000000}"/>
    <cellStyle name="Normal 21" xfId="1" xr:uid="{00000000-0005-0000-0000-000005000000}"/>
    <cellStyle name="Percent 8" xfId="5" xr:uid="{00000000-0005-0000-0000-000007000000}"/>
  </cellStyles>
  <dxfs count="6">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s>
  <tableStyles count="0" defaultTableStyle="TableStyleMedium9" defaultPivotStyle="PivotStyleLight16"/>
  <colors>
    <mruColors>
      <color rgb="FFDFD091"/>
      <color rgb="FFCCFFFF"/>
      <color rgb="FFA5F7F9"/>
      <color rgb="FFCCECFF"/>
      <color rgb="FFCCFFCC"/>
      <color rgb="FFFFFFCC"/>
      <color rgb="FFDDDDDD"/>
      <color rgb="FF99CCFF"/>
      <color rgb="FFFFFFFF"/>
      <color rgb="FFE5FE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4.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15.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G15"/>
  <sheetViews>
    <sheetView workbookViewId="0">
      <selection activeCell="G14" sqref="G14"/>
    </sheetView>
  </sheetViews>
  <sheetFormatPr defaultColWidth="8.7109375" defaultRowHeight="15"/>
  <cols>
    <col min="1" max="1" width="4.28515625" style="234" customWidth="1"/>
    <col min="2" max="2" width="33.42578125" style="234" customWidth="1"/>
    <col min="3" max="3" width="54.7109375" style="234" customWidth="1"/>
    <col min="4" max="6" width="8.7109375" style="234" customWidth="1"/>
    <col min="7" max="7" width="8.7109375" customWidth="1"/>
    <col min="8" max="8" width="8.7109375" style="234" customWidth="1"/>
    <col min="9" max="16384" width="8.7109375" style="234"/>
  </cols>
  <sheetData>
    <row r="1" spans="2:3" customFormat="1" ht="21.75" customHeight="1" thickBot="1">
      <c r="B1" s="232" t="s">
        <v>0</v>
      </c>
      <c r="C1" s="231"/>
    </row>
    <row r="2" spans="2:3" customFormat="1" ht="16.5" customHeight="1" thickBot="1">
      <c r="B2" s="258" t="s">
        <v>1</v>
      </c>
      <c r="C2" s="259" t="s">
        <v>2</v>
      </c>
    </row>
    <row r="3" spans="2:3" customFormat="1" ht="16.5" customHeight="1" thickBot="1">
      <c r="B3" s="258" t="s">
        <v>3</v>
      </c>
      <c r="C3" s="259"/>
    </row>
    <row r="4" spans="2:3" customFormat="1" ht="16.5" customHeight="1" thickBot="1">
      <c r="B4" s="258" t="s">
        <v>4</v>
      </c>
      <c r="C4" s="259" t="s">
        <v>5</v>
      </c>
    </row>
    <row r="5" spans="2:3" customFormat="1" ht="16.5" customHeight="1" thickBot="1">
      <c r="B5" s="258" t="s">
        <v>6</v>
      </c>
      <c r="C5" s="260">
        <v>6</v>
      </c>
    </row>
    <row r="6" spans="2:3" customFormat="1" ht="16.5" customHeight="1" thickBot="1">
      <c r="B6" s="258" t="s">
        <v>7</v>
      </c>
      <c r="C6" s="259" t="s">
        <v>8</v>
      </c>
    </row>
    <row r="7" spans="2:3" customFormat="1" ht="16.5" customHeight="1" thickBot="1">
      <c r="B7" s="258" t="s">
        <v>9</v>
      </c>
      <c r="C7" s="259" t="s">
        <v>10</v>
      </c>
    </row>
    <row r="8" spans="2:3" customFormat="1" ht="16.5" hidden="1" customHeight="1" thickBot="1">
      <c r="B8" s="258" t="s">
        <v>11</v>
      </c>
      <c r="C8" s="259" t="s">
        <v>12</v>
      </c>
    </row>
    <row r="9" spans="2:3" customFormat="1" ht="16.5" customHeight="1" thickBot="1">
      <c r="B9" s="258" t="s">
        <v>13</v>
      </c>
      <c r="C9" s="261" t="b">
        <v>0</v>
      </c>
    </row>
    <row r="10" spans="2:3" customFormat="1" ht="16.5" customHeight="1" thickBot="1">
      <c r="B10" s="258" t="s">
        <v>14</v>
      </c>
      <c r="C10" s="259" t="b">
        <v>1</v>
      </c>
    </row>
    <row r="11" spans="2:3" customFormat="1" ht="16.5" customHeight="1" thickBot="1">
      <c r="B11" s="258" t="s">
        <v>15</v>
      </c>
      <c r="C11" s="259" t="b">
        <v>1</v>
      </c>
    </row>
    <row r="12" spans="2:3" customFormat="1" ht="16.5" customHeight="1" thickBot="1">
      <c r="B12" s="258" t="s">
        <v>16</v>
      </c>
      <c r="C12" s="259" t="b">
        <v>1</v>
      </c>
    </row>
    <row r="13" spans="2:3" customFormat="1" ht="18" customHeight="1" thickBot="1">
      <c r="B13" s="258" t="s">
        <v>17</v>
      </c>
      <c r="C13" s="259" t="b">
        <v>1</v>
      </c>
    </row>
    <row r="14" spans="2:3" customFormat="1" ht="18" customHeight="1" thickBot="1">
      <c r="B14" s="258" t="s">
        <v>18</v>
      </c>
      <c r="C14" s="259"/>
    </row>
    <row r="15" spans="2:3" customFormat="1" ht="16.5" customHeight="1" thickBot="1">
      <c r="B15" s="258" t="s">
        <v>19</v>
      </c>
      <c r="C15" s="262"/>
    </row>
  </sheetData>
  <sheetProtection password="85CC" sheet="1"/>
  <mergeCells count="1">
    <mergeCell ref="B1:C1"/>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D170"/>
  <sheetViews>
    <sheetView workbookViewId="0">
      <selection activeCell="E103" sqref="E103"/>
    </sheetView>
  </sheetViews>
  <sheetFormatPr defaultRowHeight="15"/>
  <cols>
    <col min="1" max="1" width="9.140625" customWidth="1"/>
    <col min="2" max="2" width="132.5703125" customWidth="1"/>
  </cols>
  <sheetData>
    <row r="1" spans="2:4" ht="21.75" customHeight="1" thickTop="1">
      <c r="B1" s="221" t="s">
        <v>20</v>
      </c>
      <c r="C1" s="220"/>
      <c r="D1" s="219"/>
    </row>
    <row r="2" spans="2:4" ht="15" customHeight="1">
      <c r="B2" s="218" t="s">
        <v>21</v>
      </c>
      <c r="C2" s="217"/>
      <c r="D2" s="216"/>
    </row>
    <row r="3" spans="2:4" ht="15" customHeight="1">
      <c r="B3" s="218"/>
      <c r="C3" s="217"/>
      <c r="D3" s="216"/>
    </row>
    <row r="4" spans="2:4" ht="15" customHeight="1">
      <c r="B4" s="215" t="s">
        <v>22</v>
      </c>
      <c r="C4" s="214"/>
      <c r="D4" s="213"/>
    </row>
    <row r="5" spans="2:4" ht="15" customHeight="1">
      <c r="B5" s="215"/>
      <c r="C5" s="214"/>
      <c r="D5" s="213"/>
    </row>
    <row r="6" spans="2:4" ht="15" customHeight="1">
      <c r="B6" s="215"/>
      <c r="C6" s="214"/>
      <c r="D6" s="213"/>
    </row>
    <row r="7" spans="2:4" ht="15" customHeight="1">
      <c r="B7" s="215"/>
      <c r="C7" s="214"/>
      <c r="D7" s="213"/>
    </row>
    <row r="8" spans="2:4" ht="15" customHeight="1">
      <c r="B8" s="212" t="s">
        <v>23</v>
      </c>
      <c r="C8" s="211"/>
      <c r="D8" s="210"/>
    </row>
    <row r="9" spans="2:4" ht="15" customHeight="1">
      <c r="B9" s="203" t="s">
        <v>24</v>
      </c>
      <c r="C9" s="202"/>
      <c r="D9" s="201"/>
    </row>
    <row r="10" spans="2:4" ht="15" customHeight="1">
      <c r="B10" s="203"/>
      <c r="C10" s="202"/>
      <c r="D10" s="201"/>
    </row>
    <row r="11" spans="2:4" ht="15" customHeight="1">
      <c r="B11" s="209" t="s">
        <v>25</v>
      </c>
      <c r="C11" s="208"/>
      <c r="D11" s="207"/>
    </row>
    <row r="12" spans="2:4" ht="15" customHeight="1">
      <c r="B12" s="206" t="s">
        <v>26</v>
      </c>
      <c r="C12" s="205"/>
      <c r="D12" s="204"/>
    </row>
    <row r="13" spans="2:4" ht="15" customHeight="1">
      <c r="B13" s="224" t="s">
        <v>27</v>
      </c>
      <c r="C13" s="223"/>
      <c r="D13" s="222"/>
    </row>
    <row r="14" spans="2:4" ht="15" customHeight="1">
      <c r="B14" s="224" t="s">
        <v>28</v>
      </c>
      <c r="C14" s="223"/>
      <c r="D14" s="222"/>
    </row>
    <row r="15" spans="2:4" ht="15" customHeight="1">
      <c r="B15" s="264" t="s">
        <v>29</v>
      </c>
      <c r="C15" s="263"/>
      <c r="D15" s="265"/>
    </row>
    <row r="16" spans="2:4" ht="15" customHeight="1">
      <c r="B16" s="224" t="s">
        <v>30</v>
      </c>
      <c r="C16" s="223"/>
      <c r="D16" s="222"/>
    </row>
    <row r="17" spans="2:4" ht="15" customHeight="1">
      <c r="B17" s="224"/>
      <c r="C17" s="223"/>
      <c r="D17" s="222"/>
    </row>
    <row r="18" spans="2:4" ht="15" customHeight="1">
      <c r="B18" s="197" t="s">
        <v>31</v>
      </c>
      <c r="C18" s="196"/>
      <c r="D18" s="195"/>
    </row>
    <row r="19" spans="2:4" ht="15" customHeight="1">
      <c r="B19" s="197"/>
      <c r="C19" s="196"/>
      <c r="D19" s="195"/>
    </row>
    <row r="20" spans="2:4" ht="15" customHeight="1">
      <c r="B20" s="194"/>
      <c r="C20" s="193"/>
      <c r="D20" s="192"/>
    </row>
    <row r="21" spans="2:4" ht="15" customHeight="1">
      <c r="B21" s="200" t="s">
        <v>32</v>
      </c>
      <c r="C21" s="199"/>
      <c r="D21" s="198"/>
    </row>
    <row r="22" spans="2:4" ht="15" customHeight="1">
      <c r="B22" s="200"/>
      <c r="C22" s="199"/>
      <c r="D22" s="198"/>
    </row>
    <row r="23" spans="2:4" ht="15" customHeight="1">
      <c r="B23" s="191" t="s">
        <v>33</v>
      </c>
      <c r="C23" s="190"/>
      <c r="D23" s="189"/>
    </row>
    <row r="24" spans="2:4" ht="15" customHeight="1">
      <c r="B24" s="191"/>
      <c r="C24" s="190"/>
      <c r="D24" s="189"/>
    </row>
    <row r="25" spans="2:4" ht="15" customHeight="1">
      <c r="B25" s="191" t="s">
        <v>34</v>
      </c>
      <c r="C25" s="190"/>
      <c r="D25" s="189"/>
    </row>
    <row r="26" spans="2:4" ht="15" customHeight="1">
      <c r="B26" s="191"/>
      <c r="C26" s="190"/>
      <c r="D26" s="189"/>
    </row>
    <row r="27" spans="2:4" ht="15" customHeight="1">
      <c r="B27" s="188" t="s">
        <v>35</v>
      </c>
      <c r="C27" s="187"/>
      <c r="D27" s="186"/>
    </row>
    <row r="28" spans="2:4" ht="15" customHeight="1">
      <c r="B28" s="188" t="s">
        <v>36</v>
      </c>
      <c r="C28" s="187"/>
      <c r="D28" s="186"/>
    </row>
    <row r="29" spans="2:4" ht="15" customHeight="1">
      <c r="B29" s="188" t="s">
        <v>37</v>
      </c>
      <c r="C29" s="187"/>
      <c r="D29" s="186"/>
    </row>
    <row r="30" spans="2:4" ht="15" customHeight="1">
      <c r="B30" s="188" t="s">
        <v>38</v>
      </c>
      <c r="C30" s="187"/>
      <c r="D30" s="186"/>
    </row>
    <row r="31" spans="2:4" ht="15" customHeight="1">
      <c r="B31" s="185"/>
      <c r="C31" s="184"/>
      <c r="D31" s="183"/>
    </row>
    <row r="32" spans="2:4" ht="15" customHeight="1">
      <c r="B32" s="227" t="s">
        <v>39</v>
      </c>
      <c r="C32" s="226"/>
      <c r="D32" s="225"/>
    </row>
    <row r="33" spans="2:4" ht="15" customHeight="1">
      <c r="B33" s="227"/>
      <c r="C33" s="226"/>
      <c r="D33" s="225"/>
    </row>
    <row r="34" spans="2:4" ht="15" customHeight="1">
      <c r="B34" s="188" t="s">
        <v>40</v>
      </c>
      <c r="C34" s="187"/>
      <c r="D34" s="186"/>
    </row>
    <row r="35" spans="2:4" ht="15" customHeight="1">
      <c r="B35" s="188" t="s">
        <v>41</v>
      </c>
      <c r="C35" s="187"/>
      <c r="D35" s="186"/>
    </row>
    <row r="36" spans="2:4" ht="15" customHeight="1">
      <c r="B36" s="188" t="s">
        <v>42</v>
      </c>
      <c r="C36" s="187"/>
      <c r="D36" s="186"/>
    </row>
    <row r="37" spans="2:4" ht="15" customHeight="1">
      <c r="B37" s="188" t="s">
        <v>43</v>
      </c>
      <c r="C37" s="187"/>
      <c r="D37" s="186"/>
    </row>
    <row r="38" spans="2:4" ht="15" customHeight="1">
      <c r="B38" s="173"/>
      <c r="C38" s="172"/>
      <c r="D38" s="171"/>
    </row>
    <row r="39" spans="2:4" ht="15" customHeight="1">
      <c r="B39" s="170" t="s">
        <v>44</v>
      </c>
      <c r="C39" s="169"/>
      <c r="D39" s="168"/>
    </row>
    <row r="40" spans="2:4" ht="15" customHeight="1">
      <c r="B40" s="182" t="s">
        <v>21</v>
      </c>
      <c r="C40" s="181"/>
      <c r="D40" s="180"/>
    </row>
    <row r="41" spans="2:4" ht="15" customHeight="1">
      <c r="B41" s="182"/>
      <c r="C41" s="181"/>
      <c r="D41" s="180"/>
    </row>
    <row r="42" spans="2:4" ht="15" customHeight="1">
      <c r="B42" s="167" t="s">
        <v>45</v>
      </c>
      <c r="C42" s="166"/>
      <c r="D42" s="165"/>
    </row>
    <row r="43" spans="2:4" ht="15" customHeight="1">
      <c r="B43" s="179" t="s">
        <v>46</v>
      </c>
      <c r="C43" s="178"/>
      <c r="D43" s="177"/>
    </row>
    <row r="44" spans="2:4" ht="15" customHeight="1">
      <c r="B44" s="176" t="s">
        <v>47</v>
      </c>
      <c r="C44" s="175"/>
      <c r="D44" s="174"/>
    </row>
    <row r="45" spans="2:4" ht="15" customHeight="1">
      <c r="B45" s="176" t="s">
        <v>48</v>
      </c>
      <c r="C45" s="175"/>
      <c r="D45" s="174"/>
    </row>
    <row r="46" spans="2:4" ht="15" customHeight="1">
      <c r="B46" s="164" t="s">
        <v>49</v>
      </c>
      <c r="C46" s="163"/>
      <c r="D46" s="162"/>
    </row>
    <row r="47" spans="2:4" ht="15" customHeight="1">
      <c r="B47" s="164"/>
      <c r="C47" s="163"/>
      <c r="D47" s="162"/>
    </row>
    <row r="48" spans="2:4" ht="15" customHeight="1">
      <c r="B48" s="167" t="s">
        <v>50</v>
      </c>
      <c r="C48" s="166"/>
      <c r="D48" s="165"/>
    </row>
    <row r="49" spans="2:4" ht="15" customHeight="1">
      <c r="B49" s="158" t="s">
        <v>51</v>
      </c>
      <c r="C49" s="157"/>
      <c r="D49" s="156"/>
    </row>
    <row r="50" spans="2:4" ht="15" customHeight="1">
      <c r="B50" s="158"/>
      <c r="C50" s="157"/>
      <c r="D50" s="156"/>
    </row>
    <row r="51" spans="2:4" ht="15" customHeight="1">
      <c r="B51" s="155"/>
      <c r="C51" s="154"/>
      <c r="D51" s="153"/>
    </row>
    <row r="52" spans="2:4" ht="15" customHeight="1">
      <c r="B52" s="164" t="s">
        <v>52</v>
      </c>
      <c r="C52" s="163"/>
      <c r="D52" s="162"/>
    </row>
    <row r="53" spans="2:4" ht="15" customHeight="1">
      <c r="B53" s="164"/>
      <c r="C53" s="163"/>
      <c r="D53" s="162"/>
    </row>
    <row r="54" spans="2:4" ht="15" customHeight="1">
      <c r="B54" s="161" t="s">
        <v>53</v>
      </c>
      <c r="C54" s="160"/>
      <c r="D54" s="159"/>
    </row>
    <row r="55" spans="2:4" ht="15" customHeight="1">
      <c r="B55" s="167" t="s">
        <v>54</v>
      </c>
      <c r="C55" s="166"/>
      <c r="D55" s="165"/>
    </row>
    <row r="56" spans="2:4" ht="15" customHeight="1">
      <c r="B56" s="167" t="s">
        <v>55</v>
      </c>
      <c r="C56" s="166"/>
      <c r="D56" s="165"/>
    </row>
    <row r="57" spans="2:4" ht="15" customHeight="1">
      <c r="B57" s="167" t="s">
        <v>56</v>
      </c>
      <c r="C57" s="166"/>
      <c r="D57" s="165"/>
    </row>
    <row r="58" spans="2:4" ht="15" customHeight="1">
      <c r="B58" s="167" t="s">
        <v>57</v>
      </c>
      <c r="C58" s="166"/>
      <c r="D58" s="165"/>
    </row>
    <row r="59" spans="2:4" ht="15" customHeight="1">
      <c r="B59" s="152" t="s">
        <v>58</v>
      </c>
      <c r="C59" s="151"/>
      <c r="D59" s="150"/>
    </row>
    <row r="60" spans="2:4" ht="15" customHeight="1">
      <c r="B60" s="152"/>
      <c r="C60" s="151"/>
      <c r="D60" s="150"/>
    </row>
    <row r="61" spans="2:4" ht="15" customHeight="1">
      <c r="B61" s="158" t="s">
        <v>59</v>
      </c>
      <c r="C61" s="157"/>
      <c r="D61" s="156"/>
    </row>
    <row r="62" spans="2:4" ht="15" customHeight="1">
      <c r="B62" s="158" t="s">
        <v>60</v>
      </c>
      <c r="C62" s="157"/>
      <c r="D62" s="156"/>
    </row>
    <row r="63" spans="2:4" ht="15" customHeight="1">
      <c r="B63" s="158"/>
      <c r="C63" s="157"/>
      <c r="D63" s="156"/>
    </row>
    <row r="64" spans="2:4" ht="15" customHeight="1">
      <c r="B64" s="158" t="s">
        <v>61</v>
      </c>
      <c r="C64" s="157"/>
      <c r="D64" s="156"/>
    </row>
    <row r="65" spans="2:4" ht="15" customHeight="1">
      <c r="B65" s="158" t="s">
        <v>62</v>
      </c>
      <c r="C65" s="157"/>
      <c r="D65" s="156"/>
    </row>
    <row r="66" spans="2:4" ht="15" customHeight="1">
      <c r="B66" s="158" t="s">
        <v>63</v>
      </c>
      <c r="C66" s="157"/>
      <c r="D66" s="156"/>
    </row>
    <row r="67" spans="2:4" ht="15" customHeight="1">
      <c r="B67" s="167" t="s">
        <v>64</v>
      </c>
      <c r="C67" s="166"/>
      <c r="D67" s="165"/>
    </row>
    <row r="68" spans="2:4" ht="15" customHeight="1">
      <c r="B68" s="167" t="s">
        <v>65</v>
      </c>
      <c r="C68" s="166"/>
      <c r="D68" s="165"/>
    </row>
    <row r="69" spans="2:4" ht="15" customHeight="1">
      <c r="B69" s="167" t="s">
        <v>66</v>
      </c>
      <c r="C69" s="166"/>
      <c r="D69" s="165"/>
    </row>
    <row r="70" spans="2:4" ht="15" customHeight="1">
      <c r="B70" s="194"/>
      <c r="C70" s="193"/>
      <c r="D70" s="192"/>
    </row>
    <row r="71" spans="2:4" ht="15" customHeight="1">
      <c r="B71" s="161" t="s">
        <v>67</v>
      </c>
      <c r="C71" s="160"/>
      <c r="D71" s="159"/>
    </row>
    <row r="72" spans="2:4" ht="15" customHeight="1">
      <c r="B72" s="164" t="s">
        <v>68</v>
      </c>
      <c r="C72" s="163"/>
      <c r="D72" s="162"/>
    </row>
    <row r="73" spans="2:4" ht="15" customHeight="1">
      <c r="B73" s="164"/>
      <c r="C73" s="163"/>
      <c r="D73" s="162"/>
    </row>
    <row r="74" spans="2:4" ht="15" customHeight="1">
      <c r="B74" s="161" t="s">
        <v>69</v>
      </c>
      <c r="C74" s="160"/>
      <c r="D74" s="159"/>
    </row>
    <row r="75" spans="2:4" ht="15" customHeight="1">
      <c r="B75" s="164" t="s">
        <v>70</v>
      </c>
      <c r="C75" s="163"/>
      <c r="D75" s="162"/>
    </row>
    <row r="76" spans="2:4" ht="15" customHeight="1">
      <c r="B76" s="164"/>
      <c r="C76" s="163"/>
      <c r="D76" s="162"/>
    </row>
    <row r="77" spans="2:4" ht="15" customHeight="1">
      <c r="B77" s="164" t="s">
        <v>71</v>
      </c>
      <c r="C77" s="163"/>
      <c r="D77" s="162"/>
    </row>
    <row r="78" spans="2:4" ht="15" customHeight="1">
      <c r="B78" s="164"/>
      <c r="C78" s="163"/>
      <c r="D78" s="162"/>
    </row>
    <row r="79" spans="2:4" ht="15" customHeight="1">
      <c r="B79" s="164"/>
      <c r="C79" s="163"/>
      <c r="D79" s="162"/>
    </row>
    <row r="80" spans="2:4" ht="15" customHeight="1">
      <c r="B80" s="179" t="s">
        <v>72</v>
      </c>
      <c r="C80" s="178"/>
      <c r="D80" s="177"/>
    </row>
    <row r="81" spans="2:4" ht="15" customHeight="1">
      <c r="B81" s="164" t="s">
        <v>73</v>
      </c>
      <c r="C81" s="163"/>
      <c r="D81" s="162"/>
    </row>
    <row r="82" spans="2:4" ht="15" customHeight="1">
      <c r="B82" s="164"/>
      <c r="C82" s="163"/>
      <c r="D82" s="162"/>
    </row>
    <row r="83" spans="2:4" ht="15" customHeight="1">
      <c r="B83" s="164" t="s">
        <v>74</v>
      </c>
      <c r="C83" s="163"/>
      <c r="D83" s="162"/>
    </row>
    <row r="84" spans="2:4" ht="15" customHeight="1">
      <c r="B84" s="164"/>
      <c r="C84" s="163"/>
      <c r="D84" s="162"/>
    </row>
    <row r="85" spans="2:4" ht="15" customHeight="1">
      <c r="B85" s="164" t="s">
        <v>75</v>
      </c>
      <c r="C85" s="163"/>
      <c r="D85" s="162"/>
    </row>
    <row r="86" spans="2:4" ht="15" customHeight="1">
      <c r="B86" s="164"/>
      <c r="C86" s="163"/>
      <c r="D86" s="162"/>
    </row>
    <row r="87" spans="2:4" ht="15" customHeight="1">
      <c r="B87" s="164" t="s">
        <v>76</v>
      </c>
      <c r="C87" s="163"/>
      <c r="D87" s="162"/>
    </row>
    <row r="88" spans="2:4" ht="15" customHeight="1">
      <c r="B88" s="164"/>
      <c r="C88" s="163"/>
      <c r="D88" s="162"/>
    </row>
    <row r="89" spans="2:4" ht="15" customHeight="1">
      <c r="B89" s="164"/>
      <c r="C89" s="163"/>
      <c r="D89" s="162"/>
    </row>
    <row r="90" spans="2:4" ht="15" customHeight="1">
      <c r="B90" s="164" t="s">
        <v>77</v>
      </c>
      <c r="C90" s="163"/>
      <c r="D90" s="162"/>
    </row>
    <row r="91" spans="2:4" ht="15" customHeight="1">
      <c r="B91" s="164"/>
      <c r="C91" s="163"/>
      <c r="D91" s="162"/>
    </row>
    <row r="92" spans="2:4" ht="15" customHeight="1">
      <c r="B92" s="164"/>
      <c r="C92" s="163"/>
      <c r="D92" s="162"/>
    </row>
    <row r="93" spans="2:4" ht="15" customHeight="1">
      <c r="B93" s="164"/>
      <c r="C93" s="163"/>
      <c r="D93" s="162"/>
    </row>
    <row r="94" spans="2:4" ht="15" customHeight="1">
      <c r="B94" s="164" t="s">
        <v>78</v>
      </c>
      <c r="C94" s="163"/>
      <c r="D94" s="162"/>
    </row>
    <row r="95" spans="2:4" ht="15" customHeight="1">
      <c r="B95" s="164"/>
      <c r="C95" s="163"/>
      <c r="D95" s="162"/>
    </row>
    <row r="96" spans="2:4" ht="15" customHeight="1">
      <c r="B96" s="164" t="s">
        <v>79</v>
      </c>
      <c r="C96" s="163"/>
      <c r="D96" s="162"/>
    </row>
    <row r="97" spans="2:4" ht="15" customHeight="1">
      <c r="B97" s="164"/>
      <c r="C97" s="163"/>
      <c r="D97" s="162"/>
    </row>
    <row r="98" spans="2:4">
      <c r="B98" s="161" t="s">
        <v>80</v>
      </c>
      <c r="C98" s="160"/>
      <c r="D98" s="159"/>
    </row>
    <row r="99" spans="2:4" ht="15" customHeight="1">
      <c r="B99" s="161"/>
      <c r="C99" s="160"/>
      <c r="D99" s="159"/>
    </row>
    <row r="100" spans="2:4" ht="15" customHeight="1">
      <c r="B100" s="170" t="s">
        <v>81</v>
      </c>
      <c r="C100" s="169"/>
      <c r="D100" s="168"/>
    </row>
    <row r="101" spans="2:4" ht="15" customHeight="1">
      <c r="B101" s="182" t="s">
        <v>21</v>
      </c>
      <c r="C101" s="181"/>
      <c r="D101" s="180"/>
    </row>
    <row r="102" spans="2:4" ht="15" customHeight="1">
      <c r="B102" s="182"/>
      <c r="C102" s="181"/>
      <c r="D102" s="180"/>
    </row>
    <row r="103" spans="2:4" ht="15" customHeight="1">
      <c r="B103" s="149" t="s">
        <v>82</v>
      </c>
      <c r="C103" s="148"/>
      <c r="D103" s="147"/>
    </row>
    <row r="104" spans="2:4" ht="15" customHeight="1">
      <c r="B104" s="149" t="s">
        <v>83</v>
      </c>
      <c r="C104" s="148"/>
      <c r="D104" s="147"/>
    </row>
    <row r="105" spans="2:4" ht="15" customHeight="1">
      <c r="B105" s="149" t="s">
        <v>84</v>
      </c>
      <c r="C105" s="148"/>
      <c r="D105" s="147"/>
    </row>
    <row r="106" spans="2:4" ht="15" customHeight="1">
      <c r="B106" s="149"/>
      <c r="C106" s="148"/>
      <c r="D106" s="147"/>
    </row>
    <row r="107" spans="2:4" ht="15" customHeight="1">
      <c r="B107" s="143" t="s">
        <v>85</v>
      </c>
      <c r="C107" s="142"/>
      <c r="D107" s="141"/>
    </row>
    <row r="108" spans="2:4" ht="15" customHeight="1">
      <c r="B108" s="143"/>
      <c r="C108" s="142"/>
      <c r="D108" s="141"/>
    </row>
    <row r="109" spans="2:4" ht="15" customHeight="1">
      <c r="B109" s="146"/>
      <c r="C109" s="145"/>
      <c r="D109" s="144"/>
    </row>
    <row r="110" spans="2:4" ht="15" customHeight="1">
      <c r="B110" s="149" t="s">
        <v>86</v>
      </c>
      <c r="C110" s="148"/>
      <c r="D110" s="147"/>
    </row>
    <row r="111" spans="2:4" ht="15" customHeight="1">
      <c r="B111" s="149" t="s">
        <v>87</v>
      </c>
      <c r="C111" s="148"/>
      <c r="D111" s="147"/>
    </row>
    <row r="112" spans="2:4" ht="15" customHeight="1">
      <c r="B112" s="149"/>
      <c r="C112" s="148"/>
      <c r="D112" s="147"/>
    </row>
    <row r="113" spans="2:4" ht="15" customHeight="1">
      <c r="B113" s="149"/>
      <c r="C113" s="148"/>
      <c r="D113" s="147"/>
    </row>
    <row r="114" spans="2:4" ht="15" customHeight="1">
      <c r="B114" s="149"/>
      <c r="C114" s="148"/>
      <c r="D114" s="147"/>
    </row>
    <row r="115" spans="2:4" ht="15" customHeight="1">
      <c r="B115" s="149" t="s">
        <v>88</v>
      </c>
      <c r="C115" s="148"/>
      <c r="D115" s="147"/>
    </row>
    <row r="116" spans="2:4" ht="15" customHeight="1">
      <c r="B116" s="149"/>
      <c r="C116" s="148"/>
      <c r="D116" s="147"/>
    </row>
    <row r="117" spans="2:4" ht="15" customHeight="1">
      <c r="B117" s="140" t="s">
        <v>89</v>
      </c>
      <c r="C117" s="139"/>
      <c r="D117" s="138"/>
    </row>
    <row r="118" spans="2:4" ht="15" customHeight="1">
      <c r="B118" s="140"/>
      <c r="C118" s="139"/>
      <c r="D118" s="138"/>
    </row>
    <row r="119" spans="2:4" ht="15" customHeight="1">
      <c r="B119" s="146"/>
      <c r="C119" s="145"/>
      <c r="D119" s="144"/>
    </row>
    <row r="120" spans="2:4" ht="15" customHeight="1">
      <c r="B120" s="134" t="s">
        <v>90</v>
      </c>
      <c r="C120" s="133"/>
      <c r="D120" s="132"/>
    </row>
    <row r="121" spans="2:4" ht="15" customHeight="1">
      <c r="B121" s="230" t="s">
        <v>91</v>
      </c>
      <c r="C121" s="229"/>
      <c r="D121" s="228"/>
    </row>
    <row r="122" spans="2:4" ht="15" customHeight="1">
      <c r="B122" s="230" t="s">
        <v>92</v>
      </c>
      <c r="C122" s="229"/>
      <c r="D122" s="228"/>
    </row>
    <row r="123" spans="2:4" ht="15" customHeight="1">
      <c r="B123" s="230" t="s">
        <v>93</v>
      </c>
      <c r="C123" s="229"/>
      <c r="D123" s="228"/>
    </row>
    <row r="124" spans="2:4" ht="15" customHeight="1">
      <c r="B124" s="137"/>
      <c r="C124" s="136"/>
      <c r="D124" s="135"/>
    </row>
    <row r="125" spans="2:4" ht="15" customHeight="1">
      <c r="B125" s="134" t="s">
        <v>94</v>
      </c>
      <c r="C125" s="133"/>
      <c r="D125" s="132"/>
    </row>
    <row r="126" spans="2:4" ht="15.75" customHeight="1">
      <c r="B126" s="230" t="s">
        <v>95</v>
      </c>
      <c r="C126" s="229"/>
      <c r="D126" s="228"/>
    </row>
    <row r="127" spans="2:4" ht="15" customHeight="1">
      <c r="B127" s="230"/>
      <c r="C127" s="229"/>
      <c r="D127" s="228"/>
    </row>
    <row r="128" spans="2:4" ht="15" customHeight="1">
      <c r="B128" s="230" t="s">
        <v>96</v>
      </c>
      <c r="C128" s="229"/>
      <c r="D128" s="228"/>
    </row>
    <row r="129" spans="2:4" ht="15" customHeight="1">
      <c r="B129" s="230"/>
      <c r="C129" s="229"/>
      <c r="D129" s="228"/>
    </row>
    <row r="130" spans="2:4" ht="15" customHeight="1">
      <c r="B130" s="230" t="s">
        <v>97</v>
      </c>
      <c r="C130" s="229"/>
      <c r="D130" s="228"/>
    </row>
    <row r="131" spans="2:4" ht="15" customHeight="1">
      <c r="B131" s="230"/>
      <c r="C131" s="229"/>
      <c r="D131" s="228"/>
    </row>
    <row r="132" spans="2:4" ht="15" customHeight="1">
      <c r="B132" s="137"/>
      <c r="C132" s="136"/>
      <c r="D132" s="135"/>
    </row>
    <row r="133" spans="2:4" ht="15" customHeight="1">
      <c r="B133" s="230" t="s">
        <v>98</v>
      </c>
      <c r="C133" s="229"/>
      <c r="D133" s="228"/>
    </row>
    <row r="134" spans="2:4" ht="15" customHeight="1">
      <c r="B134" s="230" t="s">
        <v>99</v>
      </c>
      <c r="C134" s="229"/>
      <c r="D134" s="228"/>
    </row>
    <row r="135" spans="2:4" ht="15.75" customHeight="1">
      <c r="B135" s="230" t="s">
        <v>100</v>
      </c>
      <c r="C135" s="229"/>
      <c r="D135" s="228"/>
    </row>
    <row r="136" spans="2:4" ht="15.75" customHeight="1">
      <c r="B136" s="230"/>
      <c r="C136" s="229"/>
      <c r="D136" s="228"/>
    </row>
    <row r="137" spans="2:4" ht="16.5" customHeight="1" thickBot="1">
      <c r="B137" s="230" t="s">
        <v>101</v>
      </c>
      <c r="C137" s="229"/>
      <c r="D137" s="228"/>
    </row>
    <row r="138" spans="2:4" ht="52.5" customHeight="1" thickTop="1" thickBot="1">
      <c r="B138" s="252" t="s">
        <v>102</v>
      </c>
      <c r="C138" s="252" t="s">
        <v>103</v>
      </c>
      <c r="D138" s="252" t="s">
        <v>104</v>
      </c>
    </row>
    <row r="139" spans="2:4" ht="27" customHeight="1" thickTop="1" thickBot="1">
      <c r="B139" s="253" t="s">
        <v>105</v>
      </c>
      <c r="C139" s="253" t="s">
        <v>106</v>
      </c>
      <c r="D139" s="253" t="s">
        <v>107</v>
      </c>
    </row>
    <row r="140" spans="2:4" ht="65.25" customHeight="1" thickTop="1" thickBot="1">
      <c r="B140" s="253" t="s">
        <v>108</v>
      </c>
      <c r="C140" s="253" t="s">
        <v>109</v>
      </c>
      <c r="D140" s="253" t="s">
        <v>110</v>
      </c>
    </row>
    <row r="141" spans="2:4" ht="65.25" customHeight="1" thickTop="1" thickBot="1">
      <c r="B141" s="253" t="s">
        <v>111</v>
      </c>
      <c r="C141" s="253" t="s">
        <v>112</v>
      </c>
      <c r="D141" s="253" t="s">
        <v>113</v>
      </c>
    </row>
    <row r="142" spans="2:4" ht="15.75" customHeight="1" thickTop="1">
      <c r="B142" s="128" t="s">
        <v>114</v>
      </c>
      <c r="C142" s="127"/>
      <c r="D142" s="126"/>
    </row>
    <row r="143" spans="2:4">
      <c r="B143" s="254"/>
      <c r="C143" s="255"/>
      <c r="D143" s="256"/>
    </row>
    <row r="144" spans="2:4" ht="21" customHeight="1">
      <c r="B144" s="131" t="s">
        <v>115</v>
      </c>
      <c r="C144" s="130"/>
      <c r="D144" s="129"/>
    </row>
    <row r="145" spans="2:4" ht="30" customHeight="1">
      <c r="B145" s="182" t="s">
        <v>21</v>
      </c>
      <c r="C145" s="181"/>
      <c r="D145" s="180"/>
    </row>
    <row r="146" spans="2:4" ht="15" customHeight="1">
      <c r="B146" s="125"/>
      <c r="C146" s="124"/>
      <c r="D146" s="123"/>
    </row>
    <row r="147" spans="2:4">
      <c r="B147" s="122" t="s">
        <v>116</v>
      </c>
      <c r="C147" s="121"/>
      <c r="D147" s="120"/>
    </row>
    <row r="148" spans="2:4" ht="15" customHeight="1">
      <c r="B148" s="122"/>
      <c r="C148" s="121"/>
      <c r="D148" s="120"/>
    </row>
    <row r="149" spans="2:4">
      <c r="B149" s="158" t="s">
        <v>117</v>
      </c>
      <c r="C149" s="157"/>
      <c r="D149" s="156"/>
    </row>
    <row r="150" spans="2:4" ht="15" customHeight="1">
      <c r="B150" s="158"/>
      <c r="C150" s="157"/>
      <c r="D150" s="156"/>
    </row>
    <row r="151" spans="2:4">
      <c r="B151" s="158" t="s">
        <v>118</v>
      </c>
      <c r="C151" s="157"/>
      <c r="D151" s="156"/>
    </row>
    <row r="152" spans="2:4">
      <c r="B152" s="158"/>
      <c r="C152" s="157"/>
      <c r="D152" s="156"/>
    </row>
    <row r="153" spans="2:4" ht="15" customHeight="1">
      <c r="B153" s="125"/>
      <c r="C153" s="124"/>
      <c r="D153" s="123"/>
    </row>
    <row r="154" spans="2:4">
      <c r="B154" s="197" t="s">
        <v>119</v>
      </c>
      <c r="C154" s="196"/>
      <c r="D154" s="195"/>
    </row>
    <row r="155" spans="2:4">
      <c r="B155" s="197"/>
      <c r="C155" s="196"/>
      <c r="D155" s="195"/>
    </row>
    <row r="156" spans="2:4">
      <c r="B156" s="197"/>
      <c r="C156" s="196"/>
      <c r="D156" s="195"/>
    </row>
    <row r="157" spans="2:4" ht="15" customHeight="1">
      <c r="B157" s="197"/>
      <c r="C157" s="196"/>
      <c r="D157" s="195"/>
    </row>
    <row r="158" spans="2:4">
      <c r="B158" s="197" t="s">
        <v>120</v>
      </c>
      <c r="C158" s="196"/>
      <c r="D158" s="195"/>
    </row>
    <row r="159" spans="2:4">
      <c r="B159" s="197"/>
      <c r="C159" s="196"/>
      <c r="D159" s="195"/>
    </row>
    <row r="160" spans="2:4">
      <c r="B160" s="125"/>
      <c r="C160" s="124"/>
      <c r="D160" s="123"/>
    </row>
    <row r="161" spans="2:4">
      <c r="B161" s="197" t="s">
        <v>98</v>
      </c>
      <c r="C161" s="196"/>
      <c r="D161" s="195"/>
    </row>
    <row r="162" spans="2:4" ht="15" customHeight="1">
      <c r="B162" s="197" t="s">
        <v>99</v>
      </c>
      <c r="C162" s="196"/>
      <c r="D162" s="195"/>
    </row>
    <row r="163" spans="2:4">
      <c r="B163" s="119" t="s">
        <v>100</v>
      </c>
      <c r="C163" s="175"/>
      <c r="D163" s="175"/>
    </row>
    <row r="164" spans="2:4" ht="15.75" customHeight="1" thickBot="1">
      <c r="B164" s="197" t="s">
        <v>101</v>
      </c>
      <c r="C164" s="196"/>
      <c r="D164" s="195"/>
    </row>
    <row r="165" spans="2:4" ht="52.5" customHeight="1" thickTop="1" thickBot="1">
      <c r="B165" s="252" t="s">
        <v>102</v>
      </c>
      <c r="C165" s="252" t="s">
        <v>103</v>
      </c>
      <c r="D165" s="252" t="s">
        <v>104</v>
      </c>
    </row>
    <row r="166" spans="2:4" ht="27" customHeight="1" thickTop="1" thickBot="1">
      <c r="B166" s="253" t="s">
        <v>105</v>
      </c>
      <c r="C166" s="253" t="s">
        <v>106</v>
      </c>
      <c r="D166" s="253" t="s">
        <v>107</v>
      </c>
    </row>
    <row r="167" spans="2:4" ht="65.25" customHeight="1" thickTop="1" thickBot="1">
      <c r="B167" s="253" t="s">
        <v>108</v>
      </c>
      <c r="C167" s="253" t="s">
        <v>109</v>
      </c>
      <c r="D167" s="253" t="s">
        <v>110</v>
      </c>
    </row>
    <row r="168" spans="2:4" ht="65.25" customHeight="1" thickTop="1" thickBot="1">
      <c r="B168" s="253" t="s">
        <v>111</v>
      </c>
      <c r="C168" s="253" t="s">
        <v>112</v>
      </c>
      <c r="D168" s="253" t="s">
        <v>113</v>
      </c>
    </row>
    <row r="169" spans="2:4" ht="16.5" customHeight="1" thickTop="1" thickBot="1">
      <c r="B169" s="118" t="s">
        <v>114</v>
      </c>
      <c r="C169" s="117"/>
      <c r="D169" s="116"/>
    </row>
    <row r="170" spans="2:4" ht="15.75" customHeight="1" thickTop="1"/>
  </sheetData>
  <mergeCells count="110">
    <mergeCell ref="B161:D161"/>
    <mergeCell ref="B163:D163"/>
    <mergeCell ref="B164:D164"/>
    <mergeCell ref="B169:D169"/>
    <mergeCell ref="B162:D162"/>
    <mergeCell ref="B160:D160"/>
    <mergeCell ref="B145:D145"/>
    <mergeCell ref="B147:D148"/>
    <mergeCell ref="B149:D150"/>
    <mergeCell ref="B151:D152"/>
    <mergeCell ref="B153:D153"/>
    <mergeCell ref="B154:D157"/>
    <mergeCell ref="B158:D159"/>
    <mergeCell ref="B146:D146"/>
    <mergeCell ref="B126:D127"/>
    <mergeCell ref="B144:D144"/>
    <mergeCell ref="B130:D131"/>
    <mergeCell ref="B134:D134"/>
    <mergeCell ref="B135:D136"/>
    <mergeCell ref="B137:D137"/>
    <mergeCell ref="B142:D142"/>
    <mergeCell ref="B132:D132"/>
    <mergeCell ref="B133:D133"/>
    <mergeCell ref="B119:D119"/>
    <mergeCell ref="B115:D116"/>
    <mergeCell ref="B117:D118"/>
    <mergeCell ref="B124:D124"/>
    <mergeCell ref="B120:D120"/>
    <mergeCell ref="B121:D121"/>
    <mergeCell ref="B122:D122"/>
    <mergeCell ref="B123:D123"/>
    <mergeCell ref="B125:D125"/>
    <mergeCell ref="B111:D114"/>
    <mergeCell ref="B109:D109"/>
    <mergeCell ref="B103:D103"/>
    <mergeCell ref="B98:D99"/>
    <mergeCell ref="B100:D100"/>
    <mergeCell ref="B101:D102"/>
    <mergeCell ref="B104:D104"/>
    <mergeCell ref="B105:D106"/>
    <mergeCell ref="B107:D108"/>
    <mergeCell ref="B110:D110"/>
    <mergeCell ref="B96:D97"/>
    <mergeCell ref="B68:D68"/>
    <mergeCell ref="B69:D69"/>
    <mergeCell ref="B70:D70"/>
    <mergeCell ref="B65:D65"/>
    <mergeCell ref="B66:D66"/>
    <mergeCell ref="B72:D73"/>
    <mergeCell ref="B74:D74"/>
    <mergeCell ref="B75:D76"/>
    <mergeCell ref="B77:D79"/>
    <mergeCell ref="B80:D80"/>
    <mergeCell ref="B71:D71"/>
    <mergeCell ref="B67:D67"/>
    <mergeCell ref="B81:D82"/>
    <mergeCell ref="B83:D84"/>
    <mergeCell ref="B85:D86"/>
    <mergeCell ref="B87:D89"/>
    <mergeCell ref="B90:D93"/>
    <mergeCell ref="B94:D95"/>
    <mergeCell ref="B45:D45"/>
    <mergeCell ref="B46:D47"/>
    <mergeCell ref="B48:D48"/>
    <mergeCell ref="B54:D54"/>
    <mergeCell ref="B55:D55"/>
    <mergeCell ref="B56:D56"/>
    <mergeCell ref="B57:D57"/>
    <mergeCell ref="B64:D64"/>
    <mergeCell ref="B51:D51"/>
    <mergeCell ref="B52:D53"/>
    <mergeCell ref="B58:D58"/>
    <mergeCell ref="B59:D60"/>
    <mergeCell ref="B61:D61"/>
    <mergeCell ref="B62:D63"/>
    <mergeCell ref="B49:D49"/>
    <mergeCell ref="B50:D50"/>
    <mergeCell ref="B35:D35"/>
    <mergeCell ref="B36:D36"/>
    <mergeCell ref="B37:D37"/>
    <mergeCell ref="B43:D43"/>
    <mergeCell ref="B44:D44"/>
    <mergeCell ref="B38:D38"/>
    <mergeCell ref="B39:D39"/>
    <mergeCell ref="B42:D42"/>
    <mergeCell ref="B34:D34"/>
    <mergeCell ref="B128:D129"/>
    <mergeCell ref="B32:D33"/>
    <mergeCell ref="B16:D17"/>
    <mergeCell ref="B1:D1"/>
    <mergeCell ref="B2:D3"/>
    <mergeCell ref="B4:D7"/>
    <mergeCell ref="B8:D8"/>
    <mergeCell ref="B11:D11"/>
    <mergeCell ref="B12:D12"/>
    <mergeCell ref="B13:D13"/>
    <mergeCell ref="B14:D14"/>
    <mergeCell ref="B9:D10"/>
    <mergeCell ref="B21:D22"/>
    <mergeCell ref="B18:D18"/>
    <mergeCell ref="B19:D19"/>
    <mergeCell ref="B20:D20"/>
    <mergeCell ref="B23:D24"/>
    <mergeCell ref="B25:D26"/>
    <mergeCell ref="B28:D28"/>
    <mergeCell ref="B29:D29"/>
    <mergeCell ref="B30:D30"/>
    <mergeCell ref="B31:D31"/>
    <mergeCell ref="B27:D27"/>
    <mergeCell ref="B40:D41"/>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F1000"/>
  <sheetViews>
    <sheetView workbookViewId="0">
      <selection activeCell="B9" sqref="B9"/>
    </sheetView>
  </sheetViews>
  <sheetFormatPr defaultColWidth="8.7109375" defaultRowHeight="15"/>
  <cols>
    <col min="1" max="1" width="4.28515625" style="234" customWidth="1"/>
    <col min="2" max="2" width="28" customWidth="1"/>
    <col min="3" max="3" width="24.140625" style="234" customWidth="1"/>
    <col min="4" max="4" width="32.28515625" style="234" customWidth="1"/>
    <col min="5" max="5" width="56.28515625" style="234" customWidth="1"/>
    <col min="6" max="6" width="24.42578125" style="234" customWidth="1"/>
    <col min="7" max="7" width="8.7109375" style="234" customWidth="1"/>
    <col min="8" max="16384" width="8.7109375" style="234"/>
  </cols>
  <sheetData>
    <row r="1" spans="2:6" customFormat="1" ht="21.75" customHeight="1" thickBot="1">
      <c r="B1" s="113" t="s">
        <v>121</v>
      </c>
      <c r="C1" s="112"/>
      <c r="D1" s="112"/>
      <c r="E1" s="112"/>
      <c r="F1" s="112"/>
    </row>
    <row r="2" spans="2:6" customFormat="1" ht="27.75" customHeight="1" thickBot="1">
      <c r="B2" s="105" t="s">
        <v>122</v>
      </c>
      <c r="C2" s="104"/>
      <c r="D2" s="104"/>
      <c r="E2" s="104"/>
      <c r="F2" s="104"/>
    </row>
    <row r="3" spans="2:6">
      <c r="B3" s="111" t="s">
        <v>123</v>
      </c>
      <c r="C3" s="110"/>
      <c r="D3" s="110"/>
      <c r="E3" s="110"/>
      <c r="F3" s="110"/>
    </row>
    <row r="4" spans="2:6" customFormat="1" ht="20.25" customHeight="1" thickBot="1">
      <c r="B4" s="109" t="s">
        <v>124</v>
      </c>
      <c r="C4" s="108"/>
      <c r="D4" s="108"/>
      <c r="E4" s="108"/>
      <c r="F4" s="108"/>
    </row>
    <row r="5" spans="2:6" customFormat="1" ht="21.75" customHeight="1" thickBot="1">
      <c r="B5" s="107" t="s">
        <v>125</v>
      </c>
      <c r="C5" s="106"/>
      <c r="D5" s="106"/>
      <c r="E5" s="106"/>
      <c r="F5" s="106"/>
    </row>
    <row r="6" spans="2:6" customFormat="1" ht="16.5" customHeight="1" thickBot="1">
      <c r="B6" s="115" t="s">
        <v>126</v>
      </c>
      <c r="C6" s="114"/>
      <c r="D6" s="114"/>
      <c r="E6" s="114"/>
      <c r="F6" s="266">
        <f>SUMIF(B9:B143, "Future", F9:F941)</f>
        <v>0</v>
      </c>
    </row>
    <row r="7" spans="2:6" customFormat="1" ht="16.5" customHeight="1" thickBot="1">
      <c r="B7" s="115" t="s">
        <v>127</v>
      </c>
      <c r="C7" s="114"/>
      <c r="D7" s="114"/>
      <c r="E7" s="114"/>
      <c r="F7" s="266">
        <f>SUMIF(B9:B143, "Existing", F9:F941)</f>
        <v>0</v>
      </c>
    </row>
    <row r="8" spans="2:6" customFormat="1" ht="24" customHeight="1" thickBot="1">
      <c r="B8" s="267" t="s">
        <v>128</v>
      </c>
      <c r="C8" s="267" t="s">
        <v>129</v>
      </c>
      <c r="D8" s="267" t="s">
        <v>130</v>
      </c>
      <c r="E8" s="268" t="s">
        <v>131</v>
      </c>
      <c r="F8" s="269" t="s">
        <v>132</v>
      </c>
    </row>
    <row r="9" spans="2:6" customFormat="1" ht="15" customHeight="1">
      <c r="B9" s="270"/>
      <c r="C9" s="270"/>
      <c r="D9" s="270"/>
      <c r="E9" s="271"/>
      <c r="F9" s="272"/>
    </row>
    <row r="10" spans="2:6">
      <c r="B10" s="270"/>
      <c r="C10" s="270"/>
      <c r="D10" s="270"/>
      <c r="E10" s="271"/>
      <c r="F10" s="272"/>
    </row>
    <row r="11" spans="2:6">
      <c r="B11" s="270"/>
      <c r="C11" s="270"/>
      <c r="D11" s="270"/>
      <c r="E11" s="273"/>
      <c r="F11" s="272"/>
    </row>
    <row r="12" spans="2:6" customFormat="1" ht="15" customHeight="1">
      <c r="B12" s="270"/>
      <c r="C12" s="270"/>
      <c r="D12" s="270"/>
      <c r="E12" s="271"/>
      <c r="F12" s="272"/>
    </row>
    <row r="13" spans="2:6">
      <c r="B13" s="270"/>
      <c r="C13" s="270"/>
      <c r="D13" s="270"/>
      <c r="E13" s="273"/>
      <c r="F13" s="272"/>
    </row>
    <row r="14" spans="2:6" customFormat="1" ht="15" customHeight="1">
      <c r="B14" s="270"/>
      <c r="C14" s="270"/>
      <c r="D14" s="270"/>
      <c r="E14" s="273"/>
      <c r="F14" s="272"/>
    </row>
    <row r="15" spans="2:6">
      <c r="B15" s="270"/>
      <c r="C15" s="270"/>
      <c r="D15" s="270"/>
      <c r="E15" s="273"/>
      <c r="F15" s="272"/>
    </row>
    <row r="16" spans="2:6" customFormat="1" ht="15" customHeight="1">
      <c r="B16" s="270"/>
      <c r="C16" s="270"/>
      <c r="D16" s="270"/>
      <c r="E16" s="273"/>
      <c r="F16" s="272"/>
    </row>
    <row r="17" spans="2:6">
      <c r="B17" s="270"/>
      <c r="C17" s="270"/>
      <c r="D17" s="270"/>
      <c r="E17" s="273"/>
      <c r="F17" s="272"/>
    </row>
    <row r="18" spans="2:6">
      <c r="B18" s="270"/>
      <c r="C18" s="270"/>
      <c r="D18" s="270"/>
      <c r="E18" s="274"/>
      <c r="F18" s="272"/>
    </row>
    <row r="19" spans="2:6" customFormat="1" ht="15" customHeight="1">
      <c r="B19" s="270"/>
      <c r="C19" s="270"/>
      <c r="D19" s="270"/>
      <c r="E19" s="273"/>
      <c r="F19" s="272"/>
    </row>
    <row r="20" spans="2:6">
      <c r="B20" s="270"/>
      <c r="C20" s="270"/>
      <c r="D20" s="270"/>
      <c r="E20" s="273"/>
      <c r="F20" s="272"/>
    </row>
    <row r="21" spans="2:6" customFormat="1" ht="15" customHeight="1">
      <c r="B21" s="270"/>
      <c r="C21" s="270"/>
      <c r="D21" s="270"/>
      <c r="E21" s="273"/>
      <c r="F21" s="272"/>
    </row>
    <row r="22" spans="2:6">
      <c r="B22" s="270"/>
      <c r="C22" s="270"/>
      <c r="D22" s="270"/>
      <c r="E22" s="273"/>
      <c r="F22" s="272"/>
    </row>
    <row r="23" spans="2:6" customFormat="1" ht="15" customHeight="1">
      <c r="B23" s="270"/>
      <c r="C23" s="270"/>
      <c r="D23" s="270"/>
      <c r="E23" s="273"/>
      <c r="F23" s="272"/>
    </row>
    <row r="24" spans="2:6">
      <c r="B24" s="270"/>
      <c r="C24" s="270"/>
      <c r="D24" s="270"/>
      <c r="E24" s="273"/>
      <c r="F24" s="272"/>
    </row>
    <row r="25" spans="2:6" customFormat="1" ht="15" customHeight="1">
      <c r="B25" s="270"/>
      <c r="C25" s="270"/>
      <c r="D25" s="270"/>
      <c r="E25" s="273"/>
      <c r="F25" s="272"/>
    </row>
    <row r="26" spans="2:6">
      <c r="B26" s="270"/>
      <c r="C26" s="270"/>
      <c r="D26" s="270"/>
      <c r="E26" s="273"/>
      <c r="F26" s="272"/>
    </row>
    <row r="27" spans="2:6">
      <c r="B27" s="270"/>
      <c r="C27" s="270"/>
      <c r="D27" s="270"/>
      <c r="E27" s="273"/>
      <c r="F27" s="272"/>
    </row>
    <row r="28" spans="2:6">
      <c r="B28" s="270"/>
      <c r="C28" s="270"/>
      <c r="D28" s="270"/>
      <c r="E28" s="273"/>
      <c r="F28" s="272"/>
    </row>
    <row r="29" spans="2:6">
      <c r="B29" s="270"/>
      <c r="C29" s="270"/>
      <c r="D29" s="270"/>
      <c r="E29" s="273"/>
      <c r="F29" s="272"/>
    </row>
    <row r="30" spans="2:6" customFormat="1" ht="15" customHeight="1">
      <c r="B30" s="270"/>
      <c r="C30" s="270"/>
      <c r="D30" s="270"/>
      <c r="E30" s="273"/>
      <c r="F30" s="272"/>
    </row>
    <row r="31" spans="2:6">
      <c r="B31" s="270"/>
      <c r="C31" s="270"/>
      <c r="D31" s="270"/>
      <c r="E31" s="273"/>
      <c r="F31" s="272"/>
    </row>
    <row r="32" spans="2:6">
      <c r="B32" s="270"/>
      <c r="C32" s="270"/>
      <c r="D32" s="270"/>
      <c r="E32" s="273"/>
      <c r="F32" s="272"/>
    </row>
    <row r="33" spans="2:6">
      <c r="B33" s="270"/>
      <c r="C33" s="270"/>
      <c r="D33" s="270"/>
      <c r="E33" s="273"/>
      <c r="F33" s="272"/>
    </row>
    <row r="34" spans="2:6">
      <c r="B34" s="270"/>
      <c r="C34" s="270"/>
      <c r="D34" s="270"/>
      <c r="E34" s="273"/>
      <c r="F34" s="272"/>
    </row>
    <row r="35" spans="2:6">
      <c r="B35" s="270"/>
      <c r="C35" s="270"/>
      <c r="D35" s="270"/>
      <c r="E35" s="273"/>
      <c r="F35" s="272"/>
    </row>
    <row r="36" spans="2:6">
      <c r="B36" s="270"/>
      <c r="C36" s="270"/>
      <c r="D36" s="270"/>
      <c r="E36" s="273"/>
      <c r="F36" s="272"/>
    </row>
    <row r="37" spans="2:6">
      <c r="B37" s="270"/>
      <c r="C37" s="270"/>
      <c r="D37" s="270"/>
      <c r="E37" s="273"/>
      <c r="F37" s="272"/>
    </row>
    <row r="38" spans="2:6">
      <c r="B38" s="270"/>
      <c r="C38" s="270"/>
      <c r="D38" s="270"/>
      <c r="E38" s="273"/>
      <c r="F38" s="272"/>
    </row>
    <row r="39" spans="2:6">
      <c r="B39" s="270"/>
      <c r="C39" s="270"/>
      <c r="D39" s="270"/>
      <c r="E39" s="273"/>
      <c r="F39" s="272"/>
    </row>
    <row r="40" spans="2:6">
      <c r="B40" s="270"/>
      <c r="C40" s="270"/>
      <c r="D40" s="270"/>
      <c r="E40" s="273"/>
      <c r="F40" s="272"/>
    </row>
    <row r="41" spans="2:6">
      <c r="B41" s="270"/>
      <c r="C41" s="270"/>
      <c r="D41" s="270"/>
      <c r="E41" s="273"/>
      <c r="F41" s="272"/>
    </row>
    <row r="42" spans="2:6">
      <c r="B42" s="270"/>
      <c r="C42" s="270"/>
      <c r="D42" s="270"/>
      <c r="E42" s="273"/>
      <c r="F42" s="272"/>
    </row>
    <row r="43" spans="2:6">
      <c r="B43" s="270"/>
      <c r="C43" s="270"/>
      <c r="D43" s="270"/>
      <c r="E43" s="273"/>
      <c r="F43" s="272"/>
    </row>
    <row r="44" spans="2:6">
      <c r="B44" s="270"/>
      <c r="C44" s="270"/>
      <c r="D44" s="270"/>
      <c r="E44" s="273"/>
      <c r="F44" s="272"/>
    </row>
    <row r="45" spans="2:6">
      <c r="B45" s="270"/>
      <c r="C45" s="270"/>
      <c r="D45" s="270"/>
      <c r="E45" s="273"/>
      <c r="F45" s="272"/>
    </row>
    <row r="46" spans="2:6">
      <c r="B46" s="270"/>
      <c r="C46" s="270"/>
      <c r="D46" s="270"/>
      <c r="E46" s="273"/>
      <c r="F46" s="272"/>
    </row>
    <row r="47" spans="2:6">
      <c r="B47" s="270"/>
      <c r="C47" s="270"/>
      <c r="D47" s="270"/>
      <c r="E47" s="273"/>
      <c r="F47" s="272"/>
    </row>
    <row r="48" spans="2:6">
      <c r="B48" s="270"/>
      <c r="C48" s="270"/>
      <c r="D48" s="270"/>
      <c r="E48" s="273"/>
      <c r="F48" s="272"/>
    </row>
    <row r="49" spans="2:6">
      <c r="B49" s="270"/>
      <c r="C49" s="270"/>
      <c r="D49" s="270"/>
      <c r="E49" s="273"/>
      <c r="F49" s="272"/>
    </row>
    <row r="50" spans="2:6">
      <c r="B50" s="270"/>
      <c r="C50" s="270"/>
      <c r="D50" s="270"/>
      <c r="E50" s="273"/>
      <c r="F50" s="272"/>
    </row>
    <row r="51" spans="2:6">
      <c r="B51" s="270"/>
      <c r="C51" s="270"/>
      <c r="D51" s="270"/>
      <c r="E51" s="273"/>
      <c r="F51" s="272"/>
    </row>
    <row r="52" spans="2:6">
      <c r="B52" s="270"/>
      <c r="C52" s="270"/>
      <c r="D52" s="270"/>
      <c r="E52" s="273"/>
      <c r="F52" s="272"/>
    </row>
    <row r="53" spans="2:6">
      <c r="B53" s="270"/>
      <c r="C53" s="270"/>
      <c r="D53" s="270"/>
      <c r="E53" s="273"/>
      <c r="F53" s="272"/>
    </row>
    <row r="54" spans="2:6">
      <c r="B54" s="270"/>
      <c r="C54" s="270"/>
      <c r="D54" s="270"/>
      <c r="E54" s="273"/>
      <c r="F54" s="272"/>
    </row>
    <row r="55" spans="2:6">
      <c r="B55" s="270"/>
      <c r="C55" s="270"/>
      <c r="D55" s="270"/>
      <c r="E55" s="273"/>
      <c r="F55" s="272"/>
    </row>
    <row r="56" spans="2:6">
      <c r="B56" s="270"/>
      <c r="C56" s="270"/>
      <c r="D56" s="270"/>
      <c r="E56" s="273"/>
      <c r="F56" s="272"/>
    </row>
    <row r="57" spans="2:6">
      <c r="B57" s="270"/>
      <c r="C57" s="270"/>
      <c r="D57" s="270"/>
      <c r="E57" s="273"/>
      <c r="F57" s="272"/>
    </row>
    <row r="58" spans="2:6">
      <c r="B58" s="270"/>
      <c r="C58" s="270"/>
      <c r="D58" s="270"/>
      <c r="E58" s="273"/>
      <c r="F58" s="272"/>
    </row>
    <row r="59" spans="2:6">
      <c r="B59" s="270"/>
      <c r="C59" s="270"/>
      <c r="D59" s="270"/>
      <c r="E59" s="273"/>
      <c r="F59" s="272"/>
    </row>
    <row r="60" spans="2:6">
      <c r="B60" s="270"/>
      <c r="C60" s="270"/>
      <c r="D60" s="270"/>
      <c r="E60" s="273"/>
      <c r="F60" s="272"/>
    </row>
    <row r="61" spans="2:6">
      <c r="B61" s="270"/>
      <c r="C61" s="270"/>
      <c r="D61" s="270"/>
      <c r="E61" s="273"/>
      <c r="F61" s="272"/>
    </row>
    <row r="62" spans="2:6">
      <c r="B62" s="270"/>
      <c r="C62" s="270"/>
      <c r="D62" s="270"/>
      <c r="E62" s="273"/>
      <c r="F62" s="272"/>
    </row>
    <row r="63" spans="2:6">
      <c r="B63" s="270"/>
      <c r="C63" s="270"/>
      <c r="D63" s="270"/>
      <c r="E63" s="273"/>
      <c r="F63" s="272"/>
    </row>
    <row r="64" spans="2:6">
      <c r="B64" s="270"/>
      <c r="C64" s="270"/>
      <c r="D64" s="270"/>
      <c r="E64" s="273"/>
      <c r="F64" s="272"/>
    </row>
    <row r="65" spans="2:6">
      <c r="B65" s="270"/>
      <c r="C65" s="270"/>
      <c r="D65" s="270"/>
      <c r="E65" s="273"/>
      <c r="F65" s="272"/>
    </row>
    <row r="66" spans="2:6">
      <c r="B66" s="270"/>
      <c r="C66" s="270"/>
      <c r="D66" s="270"/>
      <c r="E66" s="273"/>
      <c r="F66" s="272"/>
    </row>
    <row r="67" spans="2:6">
      <c r="B67" s="270"/>
      <c r="C67" s="270"/>
      <c r="D67" s="270"/>
      <c r="E67" s="273"/>
      <c r="F67" s="272"/>
    </row>
    <row r="68" spans="2:6">
      <c r="B68" s="270"/>
      <c r="C68" s="270"/>
      <c r="D68" s="270"/>
      <c r="E68" s="273"/>
      <c r="F68" s="272"/>
    </row>
    <row r="69" spans="2:6">
      <c r="B69" s="270"/>
      <c r="C69" s="270"/>
      <c r="D69" s="270"/>
      <c r="E69" s="273"/>
      <c r="F69" s="272"/>
    </row>
    <row r="70" spans="2:6">
      <c r="B70" s="270"/>
      <c r="C70" s="270"/>
      <c r="D70" s="270"/>
      <c r="E70" s="273"/>
      <c r="F70" s="272"/>
    </row>
    <row r="71" spans="2:6">
      <c r="B71" s="270"/>
      <c r="C71" s="270"/>
      <c r="D71" s="270"/>
      <c r="E71" s="273"/>
      <c r="F71" s="272"/>
    </row>
    <row r="72" spans="2:6">
      <c r="B72" s="270"/>
      <c r="C72" s="270"/>
      <c r="D72" s="270"/>
      <c r="E72" s="273"/>
      <c r="F72" s="272"/>
    </row>
    <row r="73" spans="2:6">
      <c r="B73" s="270"/>
      <c r="C73" s="270"/>
      <c r="D73" s="270"/>
      <c r="E73" s="273"/>
      <c r="F73" s="272"/>
    </row>
    <row r="74" spans="2:6">
      <c r="B74" s="270"/>
      <c r="C74" s="270"/>
      <c r="D74" s="270"/>
      <c r="E74" s="273"/>
      <c r="F74" s="272"/>
    </row>
    <row r="75" spans="2:6">
      <c r="B75" s="270"/>
      <c r="C75" s="270"/>
      <c r="D75" s="270"/>
      <c r="E75" s="273"/>
      <c r="F75" s="272"/>
    </row>
    <row r="76" spans="2:6">
      <c r="B76" s="270"/>
      <c r="C76" s="270"/>
      <c r="D76" s="270"/>
      <c r="E76" s="273"/>
      <c r="F76" s="272"/>
    </row>
    <row r="77" spans="2:6">
      <c r="B77" s="270"/>
      <c r="C77" s="270"/>
      <c r="D77" s="270"/>
      <c r="E77" s="273"/>
      <c r="F77" s="272"/>
    </row>
    <row r="78" spans="2:6">
      <c r="B78" s="270"/>
      <c r="C78" s="270"/>
      <c r="D78" s="270"/>
      <c r="E78" s="273"/>
      <c r="F78" s="272"/>
    </row>
    <row r="79" spans="2:6">
      <c r="B79" s="270"/>
      <c r="C79" s="270"/>
      <c r="D79" s="270"/>
      <c r="E79" s="273"/>
      <c r="F79" s="272"/>
    </row>
    <row r="80" spans="2:6">
      <c r="B80" s="270"/>
      <c r="C80" s="270"/>
      <c r="D80" s="270"/>
      <c r="E80" s="273"/>
      <c r="F80" s="272"/>
    </row>
    <row r="81" spans="2:6">
      <c r="B81" s="270"/>
      <c r="C81" s="270"/>
      <c r="D81" s="270"/>
      <c r="E81" s="273"/>
      <c r="F81" s="272"/>
    </row>
    <row r="82" spans="2:6">
      <c r="B82" s="270"/>
      <c r="C82" s="270"/>
      <c r="D82" s="270"/>
      <c r="E82" s="273"/>
      <c r="F82" s="272"/>
    </row>
    <row r="83" spans="2:6">
      <c r="B83" s="270"/>
      <c r="C83" s="270"/>
      <c r="D83" s="270"/>
      <c r="E83" s="273"/>
      <c r="F83" s="272"/>
    </row>
    <row r="84" spans="2:6">
      <c r="B84" s="270"/>
      <c r="C84" s="270"/>
      <c r="D84" s="270"/>
      <c r="E84" s="273"/>
      <c r="F84" s="272"/>
    </row>
    <row r="85" spans="2:6">
      <c r="B85" s="270"/>
      <c r="C85" s="270"/>
      <c r="D85" s="270"/>
      <c r="E85" s="273"/>
      <c r="F85" s="272"/>
    </row>
    <row r="86" spans="2:6">
      <c r="B86" s="270"/>
      <c r="C86" s="270"/>
      <c r="D86" s="270"/>
      <c r="E86" s="273"/>
      <c r="F86" s="272"/>
    </row>
    <row r="87" spans="2:6">
      <c r="B87" s="270"/>
      <c r="C87" s="270"/>
      <c r="D87" s="270"/>
      <c r="E87" s="273"/>
      <c r="F87" s="272"/>
    </row>
    <row r="88" spans="2:6">
      <c r="B88" s="270"/>
      <c r="C88" s="270"/>
      <c r="D88" s="270"/>
      <c r="E88" s="273"/>
      <c r="F88" s="272"/>
    </row>
    <row r="89" spans="2:6">
      <c r="B89" s="270"/>
      <c r="C89" s="270"/>
      <c r="D89" s="270"/>
      <c r="E89" s="273"/>
      <c r="F89" s="272"/>
    </row>
    <row r="90" spans="2:6">
      <c r="B90" s="270"/>
      <c r="C90" s="270"/>
      <c r="D90" s="270"/>
      <c r="E90" s="273"/>
      <c r="F90" s="272"/>
    </row>
    <row r="91" spans="2:6">
      <c r="B91" s="270"/>
      <c r="C91" s="270"/>
      <c r="D91" s="270"/>
      <c r="E91" s="273"/>
      <c r="F91" s="272"/>
    </row>
    <row r="92" spans="2:6">
      <c r="B92" s="270"/>
      <c r="C92" s="270"/>
      <c r="D92" s="270"/>
      <c r="E92" s="273"/>
      <c r="F92" s="272"/>
    </row>
    <row r="93" spans="2:6">
      <c r="B93" s="270"/>
      <c r="C93" s="270"/>
      <c r="D93" s="270"/>
      <c r="E93" s="273"/>
      <c r="F93" s="272"/>
    </row>
    <row r="94" spans="2:6">
      <c r="B94" s="270"/>
      <c r="C94" s="270"/>
      <c r="D94" s="270"/>
      <c r="E94" s="273"/>
      <c r="F94" s="272"/>
    </row>
    <row r="95" spans="2:6">
      <c r="B95" s="270"/>
      <c r="C95" s="270"/>
      <c r="D95" s="270"/>
      <c r="E95" s="273"/>
      <c r="F95" s="272"/>
    </row>
    <row r="96" spans="2:6">
      <c r="B96" s="270"/>
      <c r="C96" s="270"/>
      <c r="D96" s="270"/>
      <c r="E96" s="273"/>
      <c r="F96" s="272"/>
    </row>
    <row r="97" spans="2:6">
      <c r="B97" s="270"/>
      <c r="C97" s="270"/>
      <c r="D97" s="270"/>
      <c r="E97" s="273"/>
      <c r="F97" s="272"/>
    </row>
    <row r="98" spans="2:6">
      <c r="B98" s="270"/>
      <c r="C98" s="270"/>
      <c r="D98" s="270"/>
      <c r="E98" s="273"/>
      <c r="F98" s="272"/>
    </row>
    <row r="99" spans="2:6">
      <c r="B99" s="270"/>
      <c r="C99" s="270"/>
      <c r="D99" s="270"/>
      <c r="E99" s="273"/>
      <c r="F99" s="272"/>
    </row>
    <row r="100" spans="2:6">
      <c r="B100" s="270"/>
      <c r="C100" s="270"/>
      <c r="D100" s="270"/>
      <c r="E100" s="273"/>
      <c r="F100" s="272"/>
    </row>
    <row r="101" spans="2:6">
      <c r="B101" s="270"/>
      <c r="C101" s="270"/>
      <c r="D101" s="270"/>
      <c r="E101" s="273"/>
      <c r="F101" s="272"/>
    </row>
    <row r="102" spans="2:6">
      <c r="B102" s="270"/>
      <c r="C102" s="270"/>
      <c r="D102" s="270"/>
      <c r="E102" s="273"/>
      <c r="F102" s="272"/>
    </row>
    <row r="103" spans="2:6">
      <c r="B103" s="270"/>
      <c r="C103" s="270"/>
      <c r="D103" s="270"/>
      <c r="E103" s="273"/>
      <c r="F103" s="272"/>
    </row>
    <row r="104" spans="2:6">
      <c r="B104" s="270"/>
      <c r="C104" s="270"/>
      <c r="D104" s="270"/>
      <c r="E104" s="273"/>
      <c r="F104" s="272"/>
    </row>
    <row r="105" spans="2:6">
      <c r="B105" s="270"/>
      <c r="C105" s="270"/>
      <c r="D105" s="270"/>
      <c r="E105" s="273"/>
      <c r="F105" s="272"/>
    </row>
    <row r="106" spans="2:6">
      <c r="B106" s="270"/>
      <c r="C106" s="270"/>
      <c r="D106" s="270"/>
      <c r="E106" s="273"/>
      <c r="F106" s="272"/>
    </row>
    <row r="107" spans="2:6">
      <c r="B107" s="270"/>
      <c r="C107" s="270"/>
      <c r="D107" s="270"/>
      <c r="E107" s="273"/>
      <c r="F107" s="272"/>
    </row>
    <row r="108" spans="2:6">
      <c r="B108" s="270"/>
      <c r="C108" s="270"/>
      <c r="D108" s="270"/>
      <c r="E108" s="273"/>
      <c r="F108" s="272"/>
    </row>
    <row r="109" spans="2:6">
      <c r="B109" s="270"/>
      <c r="C109" s="270"/>
      <c r="D109" s="270"/>
      <c r="E109" s="273"/>
      <c r="F109" s="272"/>
    </row>
    <row r="110" spans="2:6">
      <c r="B110" s="270"/>
      <c r="C110" s="270"/>
      <c r="D110" s="270"/>
      <c r="E110" s="273"/>
      <c r="F110" s="272"/>
    </row>
    <row r="111" spans="2:6">
      <c r="B111" s="270"/>
      <c r="C111" s="270"/>
      <c r="D111" s="270"/>
      <c r="E111" s="273"/>
      <c r="F111" s="272"/>
    </row>
    <row r="112" spans="2:6">
      <c r="B112" s="270"/>
      <c r="C112" s="270"/>
      <c r="D112" s="270"/>
      <c r="E112" s="273"/>
      <c r="F112" s="272"/>
    </row>
    <row r="113" spans="2:6">
      <c r="B113" s="270"/>
      <c r="C113" s="270"/>
      <c r="D113" s="270"/>
      <c r="E113" s="273"/>
      <c r="F113" s="272"/>
    </row>
    <row r="114" spans="2:6">
      <c r="B114" s="270"/>
      <c r="C114" s="270"/>
      <c r="D114" s="270"/>
      <c r="E114" s="273"/>
      <c r="F114" s="272"/>
    </row>
    <row r="115" spans="2:6">
      <c r="B115" s="270"/>
      <c r="C115" s="270"/>
      <c r="D115" s="270"/>
      <c r="E115" s="273"/>
      <c r="F115" s="272"/>
    </row>
    <row r="116" spans="2:6">
      <c r="B116" s="270"/>
      <c r="C116" s="270"/>
      <c r="D116" s="270"/>
      <c r="E116" s="273"/>
      <c r="F116" s="272"/>
    </row>
    <row r="117" spans="2:6">
      <c r="B117" s="270"/>
      <c r="C117" s="270"/>
      <c r="D117" s="270"/>
      <c r="E117" s="273"/>
      <c r="F117" s="272"/>
    </row>
    <row r="118" spans="2:6">
      <c r="B118" s="270"/>
      <c r="C118" s="270"/>
      <c r="D118" s="270"/>
      <c r="E118" s="273"/>
      <c r="F118" s="272"/>
    </row>
    <row r="119" spans="2:6">
      <c r="B119" s="270"/>
      <c r="C119" s="270"/>
      <c r="D119" s="270"/>
      <c r="E119" s="273"/>
      <c r="F119" s="272"/>
    </row>
    <row r="120" spans="2:6">
      <c r="B120" s="270"/>
      <c r="C120" s="270"/>
      <c r="D120" s="270"/>
      <c r="E120" s="273"/>
      <c r="F120" s="272"/>
    </row>
    <row r="121" spans="2:6">
      <c r="B121" s="270"/>
      <c r="C121" s="270"/>
      <c r="D121" s="270"/>
      <c r="E121" s="273"/>
      <c r="F121" s="272"/>
    </row>
    <row r="122" spans="2:6">
      <c r="B122" s="270"/>
      <c r="C122" s="270"/>
      <c r="D122" s="270"/>
      <c r="E122" s="273"/>
      <c r="F122" s="272"/>
    </row>
    <row r="123" spans="2:6">
      <c r="B123" s="270"/>
      <c r="C123" s="270"/>
      <c r="D123" s="270"/>
      <c r="E123" s="273"/>
      <c r="F123" s="272"/>
    </row>
    <row r="124" spans="2:6">
      <c r="B124" s="270"/>
      <c r="C124" s="270"/>
      <c r="D124" s="270"/>
      <c r="E124" s="273"/>
      <c r="F124" s="272"/>
    </row>
    <row r="125" spans="2:6">
      <c r="B125" s="270"/>
      <c r="C125" s="270"/>
      <c r="D125" s="270"/>
      <c r="E125" s="273"/>
      <c r="F125" s="272"/>
    </row>
    <row r="126" spans="2:6">
      <c r="B126" s="270"/>
      <c r="C126" s="270"/>
      <c r="D126" s="270"/>
      <c r="E126" s="273"/>
      <c r="F126" s="272"/>
    </row>
    <row r="127" spans="2:6">
      <c r="B127" s="270"/>
      <c r="C127" s="270"/>
      <c r="D127" s="270"/>
      <c r="E127" s="273"/>
      <c r="F127" s="272"/>
    </row>
    <row r="128" spans="2:6">
      <c r="B128" s="270"/>
      <c r="C128" s="270"/>
      <c r="D128" s="270"/>
      <c r="E128" s="273"/>
      <c r="F128" s="272"/>
    </row>
    <row r="129" spans="2:6">
      <c r="B129" s="270"/>
      <c r="C129" s="270"/>
      <c r="D129" s="270"/>
      <c r="E129" s="273"/>
      <c r="F129" s="272"/>
    </row>
    <row r="130" spans="2:6">
      <c r="B130" s="270"/>
      <c r="C130" s="270"/>
      <c r="D130" s="270"/>
      <c r="E130" s="273"/>
      <c r="F130" s="272"/>
    </row>
    <row r="131" spans="2:6">
      <c r="B131" s="270"/>
      <c r="C131" s="270"/>
      <c r="D131" s="270"/>
      <c r="E131" s="273"/>
      <c r="F131" s="272"/>
    </row>
    <row r="132" spans="2:6">
      <c r="B132" s="270"/>
      <c r="C132" s="270"/>
      <c r="D132" s="270"/>
      <c r="E132" s="273"/>
      <c r="F132" s="272"/>
    </row>
    <row r="133" spans="2:6">
      <c r="B133" s="270"/>
      <c r="C133" s="270"/>
      <c r="D133" s="270"/>
      <c r="E133" s="273"/>
      <c r="F133" s="272"/>
    </row>
    <row r="134" spans="2:6">
      <c r="B134" s="270"/>
      <c r="C134" s="270"/>
      <c r="D134" s="270"/>
      <c r="E134" s="273"/>
      <c r="F134" s="272"/>
    </row>
    <row r="135" spans="2:6">
      <c r="B135" s="270"/>
      <c r="C135" s="270"/>
      <c r="D135" s="270"/>
      <c r="E135" s="273"/>
      <c r="F135" s="272"/>
    </row>
    <row r="136" spans="2:6">
      <c r="B136" s="270"/>
      <c r="C136" s="270"/>
      <c r="D136" s="270"/>
      <c r="E136" s="273"/>
      <c r="F136" s="272"/>
    </row>
    <row r="137" spans="2:6">
      <c r="B137" s="270"/>
      <c r="C137" s="270"/>
      <c r="D137" s="270"/>
      <c r="E137" s="273"/>
      <c r="F137" s="272"/>
    </row>
    <row r="138" spans="2:6">
      <c r="B138" s="270"/>
      <c r="C138" s="270"/>
      <c r="D138" s="270"/>
      <c r="E138" s="273"/>
      <c r="F138" s="272"/>
    </row>
    <row r="139" spans="2:6">
      <c r="B139" s="270"/>
      <c r="C139" s="270"/>
      <c r="D139" s="270"/>
      <c r="E139" s="273"/>
      <c r="F139" s="272"/>
    </row>
    <row r="140" spans="2:6">
      <c r="B140" s="270"/>
      <c r="C140" s="270"/>
      <c r="D140" s="270"/>
      <c r="E140" s="273"/>
      <c r="F140" s="272"/>
    </row>
    <row r="141" spans="2:6">
      <c r="B141" s="270"/>
      <c r="C141" s="270"/>
      <c r="D141" s="270"/>
      <c r="E141" s="273"/>
      <c r="F141" s="272"/>
    </row>
    <row r="142" spans="2:6">
      <c r="B142" s="270"/>
      <c r="C142" s="270"/>
      <c r="D142" s="270"/>
      <c r="E142" s="273"/>
      <c r="F142" s="272"/>
    </row>
    <row r="143" spans="2:6">
      <c r="B143" s="270"/>
      <c r="C143" s="270"/>
      <c r="D143" s="270"/>
      <c r="E143" s="273"/>
      <c r="F143" s="272"/>
    </row>
    <row r="144" spans="2:6">
      <c r="B144" s="270"/>
      <c r="C144" s="270"/>
      <c r="D144" s="270"/>
      <c r="E144" s="273"/>
      <c r="F144" s="272"/>
    </row>
    <row r="145" spans="2:6">
      <c r="B145" s="270"/>
      <c r="C145" s="270"/>
      <c r="D145" s="270"/>
      <c r="E145" s="273"/>
      <c r="F145" s="272"/>
    </row>
    <row r="146" spans="2:6">
      <c r="B146" s="270"/>
      <c r="C146" s="270"/>
      <c r="D146" s="270"/>
      <c r="E146" s="273"/>
      <c r="F146" s="272"/>
    </row>
    <row r="147" spans="2:6">
      <c r="B147" s="270"/>
      <c r="C147" s="270"/>
      <c r="D147" s="270"/>
      <c r="E147" s="273"/>
      <c r="F147" s="272"/>
    </row>
    <row r="148" spans="2:6">
      <c r="B148" s="270"/>
      <c r="C148" s="270"/>
      <c r="D148" s="270"/>
      <c r="E148" s="273"/>
      <c r="F148" s="272"/>
    </row>
    <row r="149" spans="2:6">
      <c r="B149" s="270"/>
      <c r="C149" s="270"/>
      <c r="D149" s="270"/>
      <c r="E149" s="273"/>
      <c r="F149" s="272"/>
    </row>
    <row r="150" spans="2:6">
      <c r="B150" s="270"/>
      <c r="C150" s="270"/>
      <c r="D150" s="270"/>
      <c r="E150" s="273"/>
      <c r="F150" s="272"/>
    </row>
    <row r="151" spans="2:6">
      <c r="B151" s="270"/>
      <c r="C151" s="270"/>
      <c r="D151" s="270"/>
      <c r="E151" s="273"/>
      <c r="F151" s="272"/>
    </row>
    <row r="152" spans="2:6">
      <c r="B152" s="270"/>
      <c r="C152" s="270"/>
      <c r="D152" s="270"/>
      <c r="E152" s="273"/>
      <c r="F152" s="272"/>
    </row>
    <row r="153" spans="2:6">
      <c r="B153" s="270"/>
      <c r="C153" s="270"/>
      <c r="D153" s="270"/>
      <c r="E153" s="273"/>
      <c r="F153" s="272"/>
    </row>
    <row r="154" spans="2:6">
      <c r="B154" s="270"/>
      <c r="C154" s="270"/>
      <c r="D154" s="270"/>
      <c r="E154" s="273"/>
      <c r="F154" s="272"/>
    </row>
    <row r="155" spans="2:6">
      <c r="B155" s="270"/>
      <c r="C155" s="270"/>
      <c r="D155" s="270"/>
      <c r="E155" s="273"/>
      <c r="F155" s="272"/>
    </row>
    <row r="156" spans="2:6">
      <c r="B156" s="270"/>
      <c r="C156" s="270"/>
      <c r="D156" s="270"/>
      <c r="E156" s="273"/>
      <c r="F156" s="272"/>
    </row>
    <row r="157" spans="2:6">
      <c r="B157" s="270"/>
      <c r="C157" s="270"/>
      <c r="D157" s="270"/>
      <c r="E157" s="273"/>
      <c r="F157" s="272"/>
    </row>
    <row r="158" spans="2:6">
      <c r="B158" s="270"/>
      <c r="C158" s="270"/>
      <c r="D158" s="270"/>
      <c r="E158" s="273"/>
      <c r="F158" s="272"/>
    </row>
    <row r="159" spans="2:6">
      <c r="B159" s="270"/>
      <c r="C159" s="270"/>
      <c r="D159" s="270"/>
      <c r="E159" s="273"/>
      <c r="F159" s="272"/>
    </row>
    <row r="160" spans="2:6">
      <c r="B160" s="270"/>
      <c r="C160" s="270"/>
      <c r="D160" s="270"/>
      <c r="E160" s="273"/>
      <c r="F160" s="272"/>
    </row>
    <row r="161" spans="2:6">
      <c r="B161" s="270"/>
      <c r="C161" s="270"/>
      <c r="D161" s="270"/>
      <c r="E161" s="273"/>
      <c r="F161" s="272"/>
    </row>
    <row r="162" spans="2:6">
      <c r="B162" s="270"/>
      <c r="C162" s="270"/>
      <c r="D162" s="270"/>
      <c r="E162" s="273"/>
      <c r="F162" s="272"/>
    </row>
    <row r="163" spans="2:6">
      <c r="B163" s="270"/>
      <c r="C163" s="270"/>
      <c r="D163" s="270"/>
      <c r="E163" s="273"/>
      <c r="F163" s="272"/>
    </row>
    <row r="164" spans="2:6">
      <c r="B164" s="270"/>
      <c r="C164" s="270"/>
      <c r="D164" s="270"/>
      <c r="E164" s="273"/>
      <c r="F164" s="272"/>
    </row>
    <row r="165" spans="2:6">
      <c r="B165" s="270"/>
      <c r="C165" s="270"/>
      <c r="D165" s="270"/>
      <c r="E165" s="273"/>
      <c r="F165" s="272"/>
    </row>
    <row r="166" spans="2:6">
      <c r="B166" s="270"/>
      <c r="C166" s="270"/>
      <c r="D166" s="270"/>
      <c r="E166" s="273"/>
      <c r="F166" s="272"/>
    </row>
    <row r="167" spans="2:6">
      <c r="B167" s="270"/>
      <c r="C167" s="270"/>
      <c r="D167" s="270"/>
      <c r="E167" s="273"/>
      <c r="F167" s="272"/>
    </row>
    <row r="168" spans="2:6">
      <c r="B168" s="270"/>
      <c r="C168" s="270"/>
      <c r="D168" s="270"/>
      <c r="E168" s="273"/>
      <c r="F168" s="272"/>
    </row>
    <row r="169" spans="2:6">
      <c r="B169" s="270"/>
      <c r="C169" s="270"/>
      <c r="D169" s="270"/>
      <c r="E169" s="273"/>
      <c r="F169" s="272"/>
    </row>
    <row r="170" spans="2:6">
      <c r="B170" s="270"/>
      <c r="C170" s="270"/>
      <c r="D170" s="270"/>
      <c r="E170" s="273"/>
      <c r="F170" s="272"/>
    </row>
    <row r="171" spans="2:6">
      <c r="B171" s="270"/>
      <c r="C171" s="270"/>
      <c r="D171" s="270"/>
      <c r="E171" s="273"/>
      <c r="F171" s="272"/>
    </row>
    <row r="172" spans="2:6">
      <c r="B172" s="270"/>
      <c r="C172" s="270"/>
      <c r="D172" s="270"/>
      <c r="E172" s="273"/>
      <c r="F172" s="272"/>
    </row>
    <row r="173" spans="2:6">
      <c r="B173" s="270"/>
      <c r="C173" s="270"/>
      <c r="D173" s="270"/>
      <c r="E173" s="273"/>
      <c r="F173" s="272"/>
    </row>
    <row r="174" spans="2:6">
      <c r="B174" s="270"/>
      <c r="C174" s="270"/>
      <c r="D174" s="270"/>
      <c r="E174" s="273"/>
      <c r="F174" s="272"/>
    </row>
    <row r="175" spans="2:6">
      <c r="B175" s="270"/>
      <c r="C175" s="270"/>
      <c r="D175" s="270"/>
      <c r="E175" s="273"/>
      <c r="F175" s="272"/>
    </row>
    <row r="176" spans="2:6">
      <c r="B176" s="270"/>
      <c r="C176" s="270"/>
      <c r="D176" s="270"/>
      <c r="E176" s="273"/>
      <c r="F176" s="272"/>
    </row>
    <row r="177" spans="2:6">
      <c r="B177" s="270"/>
      <c r="C177" s="270"/>
      <c r="D177" s="270"/>
      <c r="E177" s="273"/>
      <c r="F177" s="272"/>
    </row>
    <row r="178" spans="2:6">
      <c r="B178" s="270"/>
      <c r="C178" s="270"/>
      <c r="D178" s="270"/>
      <c r="E178" s="273"/>
      <c r="F178" s="272"/>
    </row>
    <row r="179" spans="2:6">
      <c r="B179" s="270"/>
      <c r="C179" s="270"/>
      <c r="D179" s="270"/>
      <c r="E179" s="273"/>
      <c r="F179" s="272"/>
    </row>
    <row r="180" spans="2:6">
      <c r="B180" s="270"/>
      <c r="C180" s="270"/>
      <c r="D180" s="270"/>
      <c r="E180" s="273"/>
      <c r="F180" s="272"/>
    </row>
    <row r="181" spans="2:6">
      <c r="B181" s="270"/>
      <c r="C181" s="270"/>
      <c r="D181" s="270"/>
      <c r="E181" s="273"/>
      <c r="F181" s="272"/>
    </row>
    <row r="182" spans="2:6">
      <c r="B182" s="270"/>
      <c r="C182" s="270"/>
      <c r="D182" s="270"/>
      <c r="E182" s="273"/>
      <c r="F182" s="272"/>
    </row>
    <row r="183" spans="2:6">
      <c r="B183" s="270"/>
      <c r="C183" s="270"/>
      <c r="D183" s="270"/>
      <c r="E183" s="273"/>
      <c r="F183" s="272"/>
    </row>
    <row r="184" spans="2:6">
      <c r="B184" s="270"/>
      <c r="C184" s="270"/>
      <c r="D184" s="270"/>
      <c r="E184" s="273"/>
      <c r="F184" s="272"/>
    </row>
    <row r="185" spans="2:6">
      <c r="B185" s="270"/>
      <c r="C185" s="270"/>
      <c r="D185" s="270"/>
      <c r="E185" s="273"/>
      <c r="F185" s="272"/>
    </row>
    <row r="186" spans="2:6">
      <c r="B186" s="270"/>
      <c r="C186" s="270"/>
      <c r="D186" s="270"/>
      <c r="E186" s="273"/>
      <c r="F186" s="272"/>
    </row>
    <row r="187" spans="2:6">
      <c r="B187" s="270"/>
      <c r="C187" s="270"/>
      <c r="D187" s="270"/>
      <c r="E187" s="273"/>
      <c r="F187" s="272"/>
    </row>
    <row r="188" spans="2:6">
      <c r="B188" s="270"/>
      <c r="C188" s="270"/>
      <c r="D188" s="270"/>
      <c r="E188" s="273"/>
      <c r="F188" s="272"/>
    </row>
    <row r="189" spans="2:6">
      <c r="B189" s="270"/>
      <c r="C189" s="270"/>
      <c r="D189" s="270"/>
      <c r="E189" s="273"/>
      <c r="F189" s="272"/>
    </row>
    <row r="190" spans="2:6">
      <c r="B190" s="270"/>
      <c r="C190" s="270"/>
      <c r="D190" s="270"/>
      <c r="E190" s="273"/>
      <c r="F190" s="272"/>
    </row>
    <row r="191" spans="2:6">
      <c r="B191" s="270"/>
      <c r="C191" s="270"/>
      <c r="D191" s="270"/>
      <c r="E191" s="273"/>
      <c r="F191" s="272"/>
    </row>
    <row r="192" spans="2:6">
      <c r="B192" s="270"/>
      <c r="C192" s="270"/>
      <c r="D192" s="270"/>
      <c r="E192" s="273"/>
      <c r="F192" s="272"/>
    </row>
    <row r="193" spans="2:6">
      <c r="B193" s="270"/>
      <c r="C193" s="270"/>
      <c r="D193" s="270"/>
      <c r="E193" s="273"/>
      <c r="F193" s="272"/>
    </row>
    <row r="194" spans="2:6">
      <c r="B194" s="270"/>
      <c r="C194" s="270"/>
      <c r="D194" s="270"/>
      <c r="E194" s="273"/>
      <c r="F194" s="272"/>
    </row>
    <row r="195" spans="2:6">
      <c r="B195" s="270"/>
      <c r="C195" s="270"/>
      <c r="D195" s="270"/>
      <c r="E195" s="273"/>
      <c r="F195" s="272"/>
    </row>
    <row r="196" spans="2:6">
      <c r="B196" s="270"/>
      <c r="C196" s="270"/>
      <c r="D196" s="270"/>
      <c r="E196" s="273"/>
      <c r="F196" s="272"/>
    </row>
    <row r="197" spans="2:6">
      <c r="B197" s="270"/>
      <c r="C197" s="270"/>
      <c r="D197" s="270"/>
      <c r="E197" s="273"/>
      <c r="F197" s="272"/>
    </row>
    <row r="198" spans="2:6">
      <c r="B198" s="270"/>
      <c r="C198" s="270"/>
      <c r="D198" s="270"/>
      <c r="E198" s="273"/>
      <c r="F198" s="272"/>
    </row>
    <row r="199" spans="2:6">
      <c r="B199" s="270"/>
      <c r="C199" s="270"/>
      <c r="D199" s="270"/>
      <c r="E199" s="273"/>
      <c r="F199" s="272"/>
    </row>
    <row r="200" spans="2:6">
      <c r="B200" s="270"/>
      <c r="C200" s="270"/>
      <c r="D200" s="270"/>
      <c r="E200" s="273"/>
      <c r="F200" s="272"/>
    </row>
    <row r="201" spans="2:6">
      <c r="B201" s="270"/>
      <c r="C201" s="270"/>
      <c r="D201" s="270"/>
      <c r="E201" s="273"/>
      <c r="F201" s="272"/>
    </row>
    <row r="202" spans="2:6">
      <c r="B202" s="270"/>
      <c r="C202" s="270"/>
      <c r="D202" s="270"/>
      <c r="E202" s="273"/>
      <c r="F202" s="272"/>
    </row>
    <row r="203" spans="2:6">
      <c r="B203" s="270"/>
      <c r="C203" s="270"/>
      <c r="D203" s="270"/>
      <c r="E203" s="273"/>
      <c r="F203" s="272"/>
    </row>
    <row r="204" spans="2:6">
      <c r="B204" s="270"/>
      <c r="C204" s="270"/>
      <c r="D204" s="270"/>
      <c r="E204" s="273"/>
      <c r="F204" s="272"/>
    </row>
    <row r="205" spans="2:6">
      <c r="B205" s="270"/>
      <c r="C205" s="270"/>
      <c r="D205" s="270"/>
      <c r="E205" s="273"/>
      <c r="F205" s="272"/>
    </row>
    <row r="206" spans="2:6">
      <c r="B206" s="270"/>
      <c r="C206" s="270"/>
      <c r="D206" s="270"/>
      <c r="E206" s="273"/>
      <c r="F206" s="272"/>
    </row>
    <row r="207" spans="2:6">
      <c r="B207" s="270"/>
      <c r="C207" s="270"/>
      <c r="D207" s="270"/>
      <c r="E207" s="273"/>
      <c r="F207" s="272"/>
    </row>
    <row r="208" spans="2:6">
      <c r="B208" s="270"/>
      <c r="C208" s="270"/>
      <c r="D208" s="270"/>
      <c r="E208" s="273"/>
      <c r="F208" s="272"/>
    </row>
    <row r="209" spans="2:6">
      <c r="B209" s="270"/>
      <c r="C209" s="270"/>
      <c r="D209" s="270"/>
      <c r="E209" s="273"/>
      <c r="F209" s="272"/>
    </row>
    <row r="210" spans="2:6">
      <c r="B210" s="270"/>
      <c r="C210" s="270"/>
      <c r="D210" s="270"/>
      <c r="E210" s="273"/>
      <c r="F210" s="272"/>
    </row>
    <row r="211" spans="2:6">
      <c r="B211" s="270"/>
      <c r="C211" s="270"/>
      <c r="D211" s="270"/>
      <c r="E211" s="273"/>
      <c r="F211" s="272"/>
    </row>
    <row r="212" spans="2:6">
      <c r="B212" s="270"/>
      <c r="C212" s="270"/>
      <c r="D212" s="270"/>
      <c r="E212" s="273"/>
      <c r="F212" s="272"/>
    </row>
    <row r="213" spans="2:6">
      <c r="B213" s="270"/>
      <c r="C213" s="270"/>
      <c r="D213" s="270"/>
      <c r="E213" s="273"/>
      <c r="F213" s="272"/>
    </row>
    <row r="214" spans="2:6">
      <c r="B214" s="270"/>
      <c r="C214" s="270"/>
      <c r="D214" s="270"/>
      <c r="E214" s="273"/>
      <c r="F214" s="272"/>
    </row>
    <row r="215" spans="2:6">
      <c r="B215" s="270"/>
      <c r="C215" s="270"/>
      <c r="D215" s="270"/>
      <c r="E215" s="273"/>
      <c r="F215" s="272"/>
    </row>
    <row r="216" spans="2:6">
      <c r="B216" s="270"/>
      <c r="C216" s="270"/>
      <c r="D216" s="270"/>
      <c r="E216" s="273"/>
      <c r="F216" s="272"/>
    </row>
    <row r="217" spans="2:6">
      <c r="B217" s="270"/>
      <c r="C217" s="270"/>
      <c r="D217" s="270"/>
      <c r="E217" s="273"/>
      <c r="F217" s="272"/>
    </row>
    <row r="218" spans="2:6">
      <c r="B218" s="270"/>
      <c r="C218" s="270"/>
      <c r="D218" s="270"/>
      <c r="E218" s="273"/>
      <c r="F218" s="272"/>
    </row>
    <row r="219" spans="2:6">
      <c r="B219" s="270"/>
      <c r="C219" s="270"/>
      <c r="D219" s="270"/>
      <c r="E219" s="273"/>
      <c r="F219" s="272"/>
    </row>
    <row r="220" spans="2:6">
      <c r="B220" s="270"/>
      <c r="C220" s="270"/>
      <c r="D220" s="270"/>
      <c r="E220" s="273"/>
      <c r="F220" s="272"/>
    </row>
    <row r="221" spans="2:6">
      <c r="B221" s="270"/>
      <c r="C221" s="270"/>
      <c r="D221" s="270"/>
      <c r="E221" s="273"/>
      <c r="F221" s="272"/>
    </row>
    <row r="222" spans="2:6">
      <c r="B222" s="270"/>
      <c r="C222" s="270"/>
      <c r="D222" s="270"/>
      <c r="E222" s="273"/>
      <c r="F222" s="272"/>
    </row>
    <row r="223" spans="2:6">
      <c r="B223" s="270"/>
      <c r="C223" s="270"/>
      <c r="D223" s="270"/>
      <c r="E223" s="273"/>
      <c r="F223" s="272"/>
    </row>
    <row r="224" spans="2:6">
      <c r="B224" s="270"/>
      <c r="C224" s="270"/>
      <c r="D224" s="270"/>
      <c r="E224" s="273"/>
      <c r="F224" s="272"/>
    </row>
    <row r="225" spans="2:6">
      <c r="B225" s="270"/>
      <c r="C225" s="270"/>
      <c r="D225" s="270"/>
      <c r="E225" s="273"/>
      <c r="F225" s="272"/>
    </row>
    <row r="226" spans="2:6">
      <c r="B226" s="270"/>
      <c r="C226" s="270"/>
      <c r="D226" s="270"/>
      <c r="E226" s="273"/>
      <c r="F226" s="272"/>
    </row>
    <row r="227" spans="2:6">
      <c r="B227" s="270"/>
      <c r="C227" s="270"/>
      <c r="D227" s="270"/>
      <c r="E227" s="273"/>
      <c r="F227" s="272"/>
    </row>
    <row r="228" spans="2:6">
      <c r="B228" s="270"/>
      <c r="C228" s="270"/>
      <c r="D228" s="270"/>
      <c r="E228" s="273"/>
      <c r="F228" s="272"/>
    </row>
    <row r="229" spans="2:6">
      <c r="B229" s="270"/>
      <c r="C229" s="270"/>
      <c r="D229" s="270"/>
      <c r="E229" s="273"/>
      <c r="F229" s="272"/>
    </row>
    <row r="230" spans="2:6">
      <c r="B230" s="270"/>
      <c r="C230" s="270"/>
      <c r="D230" s="270"/>
      <c r="E230" s="273"/>
      <c r="F230" s="272"/>
    </row>
    <row r="231" spans="2:6">
      <c r="B231" s="270"/>
      <c r="C231" s="270"/>
      <c r="D231" s="270"/>
      <c r="E231" s="273"/>
      <c r="F231" s="272"/>
    </row>
    <row r="232" spans="2:6">
      <c r="B232" s="270"/>
      <c r="C232" s="270"/>
      <c r="D232" s="270"/>
      <c r="E232" s="273"/>
      <c r="F232" s="272"/>
    </row>
    <row r="233" spans="2:6">
      <c r="B233" s="270"/>
      <c r="C233" s="270"/>
      <c r="D233" s="270"/>
      <c r="E233" s="273"/>
      <c r="F233" s="272"/>
    </row>
    <row r="234" spans="2:6">
      <c r="B234" s="270"/>
      <c r="C234" s="270"/>
      <c r="D234" s="270"/>
      <c r="E234" s="273"/>
      <c r="F234" s="272"/>
    </row>
    <row r="235" spans="2:6">
      <c r="B235" s="270"/>
      <c r="C235" s="270"/>
      <c r="D235" s="270"/>
      <c r="E235" s="273"/>
      <c r="F235" s="272"/>
    </row>
    <row r="236" spans="2:6">
      <c r="B236" s="270"/>
      <c r="C236" s="270"/>
      <c r="D236" s="270"/>
      <c r="E236" s="273"/>
      <c r="F236" s="272"/>
    </row>
    <row r="237" spans="2:6">
      <c r="B237" s="270"/>
      <c r="C237" s="270"/>
      <c r="D237" s="270"/>
      <c r="E237" s="273"/>
      <c r="F237" s="272"/>
    </row>
    <row r="238" spans="2:6">
      <c r="B238" s="270"/>
      <c r="C238" s="270"/>
      <c r="D238" s="270"/>
      <c r="E238" s="273"/>
      <c r="F238" s="272"/>
    </row>
    <row r="239" spans="2:6">
      <c r="B239" s="270"/>
      <c r="C239" s="270"/>
      <c r="D239" s="270"/>
      <c r="E239" s="273"/>
      <c r="F239" s="272"/>
    </row>
    <row r="240" spans="2:6">
      <c r="B240" s="270"/>
      <c r="C240" s="270"/>
      <c r="D240" s="270"/>
      <c r="E240" s="273"/>
      <c r="F240" s="272"/>
    </row>
    <row r="241" spans="2:6">
      <c r="B241" s="270"/>
      <c r="C241" s="270"/>
      <c r="D241" s="270"/>
      <c r="E241" s="273"/>
      <c r="F241" s="272"/>
    </row>
    <row r="242" spans="2:6">
      <c r="B242" s="270"/>
      <c r="C242" s="270"/>
      <c r="D242" s="270"/>
      <c r="E242" s="273"/>
      <c r="F242" s="272"/>
    </row>
    <row r="243" spans="2:6">
      <c r="B243" s="270"/>
      <c r="C243" s="270"/>
      <c r="D243" s="270"/>
      <c r="E243" s="273"/>
      <c r="F243" s="272"/>
    </row>
    <row r="244" spans="2:6">
      <c r="B244" s="270"/>
      <c r="C244" s="270"/>
      <c r="D244" s="270"/>
      <c r="E244" s="273"/>
      <c r="F244" s="272"/>
    </row>
    <row r="245" spans="2:6">
      <c r="B245" s="270"/>
      <c r="C245" s="270"/>
      <c r="D245" s="270"/>
      <c r="E245" s="273"/>
      <c r="F245" s="272"/>
    </row>
    <row r="246" spans="2:6">
      <c r="B246" s="270"/>
      <c r="C246" s="270"/>
      <c r="D246" s="270"/>
      <c r="E246" s="273"/>
      <c r="F246" s="272"/>
    </row>
    <row r="247" spans="2:6">
      <c r="B247" s="270"/>
      <c r="C247" s="270"/>
      <c r="D247" s="270"/>
      <c r="E247" s="273"/>
      <c r="F247" s="272"/>
    </row>
    <row r="248" spans="2:6">
      <c r="B248" s="270"/>
      <c r="C248" s="270"/>
      <c r="D248" s="270"/>
      <c r="E248" s="273"/>
      <c r="F248" s="272"/>
    </row>
    <row r="249" spans="2:6">
      <c r="B249" s="270"/>
      <c r="C249" s="270"/>
      <c r="D249" s="270"/>
      <c r="E249" s="273"/>
      <c r="F249" s="272"/>
    </row>
    <row r="250" spans="2:6">
      <c r="B250" s="270"/>
      <c r="C250" s="270"/>
      <c r="D250" s="270"/>
      <c r="E250" s="273"/>
      <c r="F250" s="272"/>
    </row>
    <row r="251" spans="2:6">
      <c r="B251" s="270"/>
      <c r="C251" s="270"/>
      <c r="D251" s="270"/>
      <c r="E251" s="273"/>
      <c r="F251" s="272"/>
    </row>
    <row r="252" spans="2:6">
      <c r="B252" s="270"/>
      <c r="C252" s="270"/>
      <c r="D252" s="270"/>
      <c r="E252" s="273"/>
      <c r="F252" s="272"/>
    </row>
    <row r="253" spans="2:6">
      <c r="B253" s="270"/>
      <c r="C253" s="270"/>
      <c r="D253" s="270"/>
      <c r="E253" s="273"/>
      <c r="F253" s="272"/>
    </row>
    <row r="254" spans="2:6">
      <c r="B254" s="270"/>
      <c r="C254" s="270"/>
      <c r="D254" s="270"/>
      <c r="E254" s="273"/>
      <c r="F254" s="272"/>
    </row>
    <row r="255" spans="2:6">
      <c r="B255" s="270"/>
      <c r="C255" s="270"/>
      <c r="D255" s="270"/>
      <c r="E255" s="273"/>
      <c r="F255" s="272"/>
    </row>
    <row r="256" spans="2:6">
      <c r="B256" s="270"/>
      <c r="C256" s="270"/>
      <c r="D256" s="270"/>
      <c r="E256" s="273"/>
      <c r="F256" s="272"/>
    </row>
    <row r="257" spans="2:6">
      <c r="B257" s="270"/>
      <c r="C257" s="270"/>
      <c r="D257" s="270"/>
      <c r="E257" s="273"/>
      <c r="F257" s="272"/>
    </row>
    <row r="258" spans="2:6">
      <c r="B258" s="270"/>
      <c r="C258" s="270"/>
      <c r="D258" s="270"/>
      <c r="E258" s="273"/>
      <c r="F258" s="272"/>
    </row>
    <row r="259" spans="2:6">
      <c r="B259" s="270"/>
      <c r="C259" s="270"/>
      <c r="D259" s="270"/>
      <c r="E259" s="273"/>
      <c r="F259" s="272"/>
    </row>
    <row r="260" spans="2:6">
      <c r="B260" s="270"/>
      <c r="C260" s="270"/>
      <c r="D260" s="270"/>
      <c r="E260" s="273"/>
      <c r="F260" s="272"/>
    </row>
    <row r="261" spans="2:6">
      <c r="B261" s="270"/>
      <c r="C261" s="270"/>
      <c r="D261" s="270"/>
      <c r="E261" s="273"/>
      <c r="F261" s="272"/>
    </row>
    <row r="262" spans="2:6">
      <c r="B262" s="270"/>
      <c r="C262" s="270"/>
      <c r="D262" s="270"/>
      <c r="E262" s="273"/>
      <c r="F262" s="272"/>
    </row>
    <row r="263" spans="2:6">
      <c r="B263" s="270"/>
      <c r="C263" s="270"/>
      <c r="D263" s="270"/>
      <c r="E263" s="273"/>
      <c r="F263" s="272"/>
    </row>
    <row r="264" spans="2:6">
      <c r="B264" s="270"/>
      <c r="C264" s="270"/>
      <c r="D264" s="270"/>
      <c r="E264" s="273"/>
      <c r="F264" s="272"/>
    </row>
    <row r="265" spans="2:6">
      <c r="B265" s="270"/>
      <c r="C265" s="270"/>
      <c r="D265" s="270"/>
      <c r="E265" s="273"/>
      <c r="F265" s="272"/>
    </row>
    <row r="266" spans="2:6">
      <c r="B266" s="270"/>
      <c r="C266" s="270"/>
      <c r="D266" s="270"/>
      <c r="E266" s="273"/>
      <c r="F266" s="272"/>
    </row>
    <row r="267" spans="2:6">
      <c r="B267" s="270"/>
      <c r="C267" s="270"/>
      <c r="D267" s="270"/>
      <c r="E267" s="273"/>
      <c r="F267" s="272"/>
    </row>
    <row r="268" spans="2:6">
      <c r="B268" s="270"/>
      <c r="C268" s="270"/>
      <c r="D268" s="270"/>
      <c r="E268" s="273"/>
      <c r="F268" s="272"/>
    </row>
    <row r="269" spans="2:6">
      <c r="B269" s="270"/>
      <c r="C269" s="270"/>
      <c r="D269" s="270"/>
      <c r="E269" s="273"/>
      <c r="F269" s="272"/>
    </row>
    <row r="270" spans="2:6">
      <c r="B270" s="270"/>
      <c r="C270" s="270"/>
      <c r="D270" s="270"/>
      <c r="E270" s="273"/>
      <c r="F270" s="272"/>
    </row>
    <row r="271" spans="2:6">
      <c r="B271" s="270"/>
      <c r="C271" s="270"/>
      <c r="D271" s="270"/>
      <c r="E271" s="273"/>
      <c r="F271" s="272"/>
    </row>
    <row r="272" spans="2:6">
      <c r="B272" s="270"/>
      <c r="C272" s="270"/>
      <c r="D272" s="270"/>
      <c r="E272" s="273"/>
      <c r="F272" s="272"/>
    </row>
    <row r="273" spans="2:6">
      <c r="B273" s="270"/>
      <c r="C273" s="270"/>
      <c r="D273" s="270"/>
      <c r="E273" s="273"/>
      <c r="F273" s="272"/>
    </row>
    <row r="274" spans="2:6">
      <c r="B274" s="270"/>
      <c r="C274" s="270"/>
      <c r="D274" s="270"/>
      <c r="E274" s="273"/>
      <c r="F274" s="272"/>
    </row>
    <row r="275" spans="2:6">
      <c r="B275" s="270"/>
      <c r="C275" s="270"/>
      <c r="D275" s="270"/>
      <c r="E275" s="273"/>
      <c r="F275" s="272"/>
    </row>
    <row r="276" spans="2:6">
      <c r="B276" s="270"/>
      <c r="C276" s="270"/>
      <c r="D276" s="270"/>
      <c r="E276" s="273"/>
      <c r="F276" s="272"/>
    </row>
    <row r="277" spans="2:6">
      <c r="B277" s="270"/>
      <c r="C277" s="270"/>
      <c r="D277" s="270"/>
      <c r="E277" s="273"/>
      <c r="F277" s="272"/>
    </row>
    <row r="278" spans="2:6">
      <c r="B278" s="270"/>
      <c r="C278" s="270"/>
      <c r="D278" s="270"/>
      <c r="E278" s="273"/>
      <c r="F278" s="272"/>
    </row>
    <row r="279" spans="2:6">
      <c r="B279" s="270"/>
      <c r="C279" s="270"/>
      <c r="D279" s="270"/>
      <c r="E279" s="273"/>
      <c r="F279" s="272"/>
    </row>
    <row r="280" spans="2:6">
      <c r="B280" s="270"/>
      <c r="C280" s="270"/>
      <c r="D280" s="270"/>
      <c r="E280" s="273"/>
      <c r="F280" s="272"/>
    </row>
    <row r="281" spans="2:6">
      <c r="B281" s="270"/>
      <c r="C281" s="270"/>
      <c r="D281" s="270"/>
      <c r="E281" s="273"/>
      <c r="F281" s="272"/>
    </row>
    <row r="282" spans="2:6">
      <c r="B282" s="270"/>
      <c r="C282" s="270"/>
      <c r="D282" s="270"/>
      <c r="E282" s="273"/>
      <c r="F282" s="272"/>
    </row>
    <row r="283" spans="2:6">
      <c r="B283" s="270"/>
      <c r="C283" s="270"/>
      <c r="D283" s="270"/>
      <c r="E283" s="273"/>
      <c r="F283" s="272"/>
    </row>
    <row r="284" spans="2:6">
      <c r="B284" s="270"/>
      <c r="C284" s="270"/>
      <c r="D284" s="270"/>
      <c r="E284" s="273"/>
      <c r="F284" s="272"/>
    </row>
    <row r="285" spans="2:6">
      <c r="B285" s="270"/>
      <c r="C285" s="270"/>
      <c r="D285" s="270"/>
      <c r="E285" s="273"/>
      <c r="F285" s="272"/>
    </row>
    <row r="286" spans="2:6">
      <c r="B286" s="270"/>
      <c r="C286" s="270"/>
      <c r="D286" s="270"/>
      <c r="E286" s="273"/>
      <c r="F286" s="272"/>
    </row>
    <row r="287" spans="2:6">
      <c r="B287" s="270"/>
      <c r="C287" s="270"/>
      <c r="D287" s="270"/>
      <c r="E287" s="273"/>
      <c r="F287" s="272"/>
    </row>
    <row r="288" spans="2:6">
      <c r="B288" s="270"/>
      <c r="C288" s="270"/>
      <c r="D288" s="270"/>
      <c r="E288" s="273"/>
      <c r="F288" s="272"/>
    </row>
    <row r="289" spans="2:6">
      <c r="B289" s="270"/>
      <c r="C289" s="270"/>
      <c r="D289" s="270"/>
      <c r="E289" s="273"/>
      <c r="F289" s="272"/>
    </row>
    <row r="290" spans="2:6">
      <c r="B290" s="270"/>
      <c r="C290" s="270"/>
      <c r="D290" s="270"/>
      <c r="E290" s="273"/>
      <c r="F290" s="272"/>
    </row>
    <row r="291" spans="2:6">
      <c r="B291" s="270"/>
      <c r="C291" s="270"/>
      <c r="D291" s="270"/>
      <c r="E291" s="273"/>
      <c r="F291" s="272"/>
    </row>
    <row r="292" spans="2:6">
      <c r="B292" s="270"/>
      <c r="C292" s="270"/>
      <c r="D292" s="270"/>
      <c r="E292" s="273"/>
      <c r="F292" s="272"/>
    </row>
    <row r="293" spans="2:6">
      <c r="B293" s="270"/>
      <c r="C293" s="270"/>
      <c r="D293" s="270"/>
      <c r="E293" s="273"/>
      <c r="F293" s="272"/>
    </row>
    <row r="294" spans="2:6">
      <c r="B294" s="270"/>
      <c r="C294" s="270"/>
      <c r="D294" s="270"/>
      <c r="E294" s="273"/>
      <c r="F294" s="272"/>
    </row>
    <row r="295" spans="2:6">
      <c r="B295" s="270"/>
      <c r="C295" s="270"/>
      <c r="D295" s="270"/>
      <c r="E295" s="273"/>
      <c r="F295" s="272"/>
    </row>
    <row r="296" spans="2:6">
      <c r="B296" s="270"/>
      <c r="C296" s="270"/>
      <c r="D296" s="270"/>
      <c r="E296" s="273"/>
      <c r="F296" s="272"/>
    </row>
    <row r="297" spans="2:6">
      <c r="B297" s="270"/>
      <c r="C297" s="270"/>
      <c r="D297" s="270"/>
      <c r="E297" s="273"/>
      <c r="F297" s="272"/>
    </row>
    <row r="298" spans="2:6">
      <c r="B298" s="270"/>
      <c r="C298" s="270"/>
      <c r="D298" s="270"/>
      <c r="E298" s="273"/>
      <c r="F298" s="272"/>
    </row>
    <row r="299" spans="2:6">
      <c r="B299" s="270"/>
      <c r="C299" s="270"/>
      <c r="D299" s="270"/>
      <c r="E299" s="273"/>
      <c r="F299" s="272"/>
    </row>
    <row r="300" spans="2:6">
      <c r="B300" s="270"/>
      <c r="C300" s="270"/>
      <c r="D300" s="270"/>
      <c r="E300" s="273"/>
      <c r="F300" s="272"/>
    </row>
    <row r="301" spans="2:6">
      <c r="B301" s="270"/>
      <c r="C301" s="270"/>
      <c r="D301" s="270"/>
      <c r="E301" s="273"/>
      <c r="F301" s="272"/>
    </row>
    <row r="302" spans="2:6">
      <c r="B302" s="270"/>
      <c r="C302" s="270"/>
      <c r="D302" s="270"/>
      <c r="E302" s="273"/>
      <c r="F302" s="272"/>
    </row>
    <row r="303" spans="2:6">
      <c r="B303" s="270"/>
      <c r="C303" s="270"/>
      <c r="D303" s="270"/>
      <c r="E303" s="273"/>
      <c r="F303" s="272"/>
    </row>
    <row r="304" spans="2:6">
      <c r="B304" s="270"/>
      <c r="C304" s="270"/>
      <c r="D304" s="270"/>
      <c r="E304" s="273"/>
      <c r="F304" s="272"/>
    </row>
    <row r="305" spans="2:6">
      <c r="B305" s="270"/>
      <c r="C305" s="270"/>
      <c r="D305" s="270"/>
      <c r="E305" s="273"/>
      <c r="F305" s="272"/>
    </row>
    <row r="306" spans="2:6">
      <c r="B306" s="270"/>
      <c r="C306" s="270"/>
      <c r="D306" s="270"/>
      <c r="E306" s="273"/>
      <c r="F306" s="272"/>
    </row>
    <row r="307" spans="2:6">
      <c r="B307" s="270"/>
      <c r="C307" s="270"/>
      <c r="D307" s="270"/>
      <c r="E307" s="273"/>
      <c r="F307" s="272"/>
    </row>
    <row r="308" spans="2:6">
      <c r="B308" s="270"/>
      <c r="C308" s="270"/>
      <c r="D308" s="270"/>
      <c r="E308" s="273"/>
      <c r="F308" s="272"/>
    </row>
    <row r="309" spans="2:6">
      <c r="B309" s="270"/>
      <c r="C309" s="270"/>
      <c r="D309" s="270"/>
      <c r="E309" s="273"/>
      <c r="F309" s="272"/>
    </row>
    <row r="310" spans="2:6">
      <c r="B310" s="270"/>
      <c r="C310" s="270"/>
      <c r="D310" s="270"/>
      <c r="E310" s="273"/>
      <c r="F310" s="272"/>
    </row>
    <row r="311" spans="2:6">
      <c r="B311" s="270"/>
      <c r="C311" s="270"/>
      <c r="D311" s="270"/>
      <c r="E311" s="273"/>
      <c r="F311" s="272"/>
    </row>
    <row r="312" spans="2:6">
      <c r="B312" s="270"/>
      <c r="C312" s="270"/>
      <c r="D312" s="270"/>
      <c r="E312" s="273"/>
      <c r="F312" s="272"/>
    </row>
    <row r="313" spans="2:6">
      <c r="B313" s="270"/>
      <c r="C313" s="270"/>
      <c r="D313" s="270"/>
      <c r="E313" s="273"/>
      <c r="F313" s="272"/>
    </row>
    <row r="314" spans="2:6">
      <c r="B314" s="270"/>
      <c r="C314" s="270"/>
      <c r="D314" s="270"/>
      <c r="E314" s="273"/>
      <c r="F314" s="272"/>
    </row>
    <row r="315" spans="2:6">
      <c r="B315" s="270"/>
      <c r="C315" s="270"/>
      <c r="D315" s="270"/>
      <c r="E315" s="273"/>
      <c r="F315" s="272"/>
    </row>
    <row r="316" spans="2:6">
      <c r="B316" s="270"/>
      <c r="C316" s="270"/>
      <c r="D316" s="270"/>
      <c r="E316" s="273"/>
      <c r="F316" s="272"/>
    </row>
    <row r="317" spans="2:6">
      <c r="B317" s="270"/>
      <c r="C317" s="270"/>
      <c r="D317" s="270"/>
      <c r="E317" s="273"/>
      <c r="F317" s="272"/>
    </row>
    <row r="318" spans="2:6">
      <c r="B318" s="270"/>
      <c r="C318" s="270"/>
      <c r="D318" s="270"/>
      <c r="E318" s="273"/>
      <c r="F318" s="272"/>
    </row>
    <row r="319" spans="2:6">
      <c r="B319" s="270"/>
      <c r="C319" s="270"/>
      <c r="D319" s="270"/>
      <c r="E319" s="273"/>
      <c r="F319" s="272"/>
    </row>
    <row r="320" spans="2:6">
      <c r="B320" s="270"/>
      <c r="C320" s="270"/>
      <c r="D320" s="270"/>
      <c r="E320" s="273"/>
      <c r="F320" s="272"/>
    </row>
    <row r="321" spans="2:6">
      <c r="B321" s="270"/>
      <c r="C321" s="270"/>
      <c r="D321" s="270"/>
      <c r="E321" s="273"/>
      <c r="F321" s="272"/>
    </row>
    <row r="322" spans="2:6">
      <c r="B322" s="270"/>
      <c r="C322" s="270"/>
      <c r="D322" s="270"/>
      <c r="E322" s="273"/>
      <c r="F322" s="272"/>
    </row>
    <row r="323" spans="2:6">
      <c r="B323" s="270"/>
      <c r="C323" s="270"/>
      <c r="D323" s="270"/>
      <c r="E323" s="273"/>
      <c r="F323" s="272"/>
    </row>
    <row r="324" spans="2:6">
      <c r="B324" s="270"/>
      <c r="C324" s="270"/>
      <c r="D324" s="270"/>
      <c r="E324" s="273"/>
      <c r="F324" s="272"/>
    </row>
    <row r="325" spans="2:6">
      <c r="B325" s="270"/>
      <c r="C325" s="270"/>
      <c r="D325" s="270"/>
      <c r="E325" s="273"/>
      <c r="F325" s="272"/>
    </row>
    <row r="326" spans="2:6">
      <c r="B326" s="270"/>
      <c r="C326" s="270"/>
      <c r="D326" s="270"/>
      <c r="E326" s="273"/>
      <c r="F326" s="272"/>
    </row>
    <row r="327" spans="2:6">
      <c r="B327" s="270"/>
      <c r="C327" s="270"/>
      <c r="D327" s="270"/>
      <c r="E327" s="273"/>
      <c r="F327" s="272"/>
    </row>
    <row r="328" spans="2:6">
      <c r="B328" s="270"/>
      <c r="C328" s="270"/>
      <c r="D328" s="270"/>
      <c r="E328" s="273"/>
      <c r="F328" s="272"/>
    </row>
    <row r="329" spans="2:6">
      <c r="B329" s="270"/>
      <c r="C329" s="270"/>
      <c r="D329" s="270"/>
      <c r="E329" s="273"/>
      <c r="F329" s="272"/>
    </row>
    <row r="330" spans="2:6">
      <c r="B330" s="270"/>
      <c r="C330" s="270"/>
      <c r="D330" s="270"/>
      <c r="E330" s="273"/>
      <c r="F330" s="272"/>
    </row>
    <row r="331" spans="2:6">
      <c r="B331" s="270"/>
      <c r="C331" s="270"/>
      <c r="D331" s="270"/>
      <c r="E331" s="273"/>
      <c r="F331" s="272"/>
    </row>
    <row r="332" spans="2:6">
      <c r="B332" s="270"/>
      <c r="C332" s="270"/>
      <c r="D332" s="270"/>
      <c r="E332" s="273"/>
      <c r="F332" s="272"/>
    </row>
    <row r="333" spans="2:6">
      <c r="B333" s="270"/>
      <c r="C333" s="270"/>
      <c r="D333" s="270"/>
      <c r="E333" s="273"/>
      <c r="F333" s="272"/>
    </row>
    <row r="334" spans="2:6">
      <c r="B334" s="270"/>
      <c r="C334" s="270"/>
      <c r="D334" s="270"/>
      <c r="E334" s="273"/>
      <c r="F334" s="272"/>
    </row>
    <row r="335" spans="2:6">
      <c r="B335" s="270"/>
      <c r="C335" s="270"/>
      <c r="D335" s="270"/>
      <c r="E335" s="273"/>
      <c r="F335" s="272"/>
    </row>
    <row r="336" spans="2:6">
      <c r="B336" s="270"/>
      <c r="C336" s="270"/>
      <c r="D336" s="270"/>
      <c r="E336" s="273"/>
      <c r="F336" s="272"/>
    </row>
    <row r="337" spans="2:6">
      <c r="B337" s="270"/>
      <c r="C337" s="270"/>
      <c r="D337" s="270"/>
      <c r="E337" s="273"/>
      <c r="F337" s="272"/>
    </row>
    <row r="338" spans="2:6">
      <c r="B338" s="270"/>
      <c r="C338" s="270"/>
      <c r="D338" s="270"/>
      <c r="E338" s="273"/>
      <c r="F338" s="272"/>
    </row>
    <row r="339" spans="2:6">
      <c r="B339" s="270"/>
      <c r="C339" s="270"/>
      <c r="D339" s="270"/>
      <c r="E339" s="273"/>
      <c r="F339" s="272"/>
    </row>
    <row r="340" spans="2:6">
      <c r="B340" s="270"/>
      <c r="C340" s="270"/>
      <c r="D340" s="270"/>
      <c r="E340" s="273"/>
      <c r="F340" s="272"/>
    </row>
    <row r="341" spans="2:6">
      <c r="B341" s="270"/>
      <c r="C341" s="270"/>
      <c r="D341" s="270"/>
      <c r="E341" s="273"/>
      <c r="F341" s="272"/>
    </row>
    <row r="342" spans="2:6">
      <c r="B342" s="270"/>
      <c r="C342" s="270"/>
      <c r="D342" s="270"/>
      <c r="E342" s="273"/>
      <c r="F342" s="272"/>
    </row>
    <row r="343" spans="2:6">
      <c r="B343" s="270"/>
      <c r="C343" s="270"/>
      <c r="D343" s="270"/>
      <c r="E343" s="273"/>
      <c r="F343" s="272"/>
    </row>
    <row r="344" spans="2:6">
      <c r="B344" s="270"/>
      <c r="C344" s="270"/>
      <c r="D344" s="270"/>
      <c r="E344" s="273"/>
      <c r="F344" s="272"/>
    </row>
    <row r="345" spans="2:6">
      <c r="B345" s="270"/>
      <c r="C345" s="270"/>
      <c r="D345" s="270"/>
      <c r="E345" s="273"/>
      <c r="F345" s="272"/>
    </row>
    <row r="346" spans="2:6">
      <c r="B346" s="270"/>
      <c r="C346" s="270"/>
      <c r="D346" s="270"/>
      <c r="E346" s="273"/>
      <c r="F346" s="272"/>
    </row>
    <row r="347" spans="2:6">
      <c r="B347" s="270"/>
      <c r="C347" s="270"/>
      <c r="D347" s="270"/>
      <c r="E347" s="273"/>
      <c r="F347" s="272"/>
    </row>
    <row r="348" spans="2:6">
      <c r="B348" s="270"/>
      <c r="C348" s="270"/>
      <c r="D348" s="270"/>
      <c r="E348" s="273"/>
      <c r="F348" s="272"/>
    </row>
    <row r="349" spans="2:6">
      <c r="B349" s="270"/>
      <c r="C349" s="270"/>
      <c r="D349" s="270"/>
      <c r="E349" s="273"/>
      <c r="F349" s="272"/>
    </row>
    <row r="350" spans="2:6">
      <c r="B350" s="270"/>
      <c r="C350" s="270"/>
      <c r="D350" s="270"/>
      <c r="E350" s="273"/>
      <c r="F350" s="272"/>
    </row>
    <row r="351" spans="2:6">
      <c r="B351" s="270"/>
      <c r="C351" s="270"/>
      <c r="D351" s="270"/>
      <c r="E351" s="273"/>
      <c r="F351" s="272"/>
    </row>
    <row r="352" spans="2:6">
      <c r="B352" s="270"/>
      <c r="C352" s="270"/>
      <c r="D352" s="270"/>
      <c r="E352" s="273"/>
      <c r="F352" s="272"/>
    </row>
    <row r="353" spans="2:6">
      <c r="B353" s="270"/>
      <c r="C353" s="270"/>
      <c r="D353" s="270"/>
      <c r="E353" s="273"/>
      <c r="F353" s="272"/>
    </row>
    <row r="354" spans="2:6">
      <c r="B354" s="270"/>
      <c r="C354" s="270"/>
      <c r="D354" s="270"/>
      <c r="E354" s="273"/>
      <c r="F354" s="272"/>
    </row>
    <row r="355" spans="2:6">
      <c r="B355" s="270"/>
      <c r="C355" s="270"/>
      <c r="D355" s="270"/>
      <c r="E355" s="273"/>
      <c r="F355" s="272"/>
    </row>
    <row r="356" spans="2:6">
      <c r="B356" s="270"/>
      <c r="C356" s="270"/>
      <c r="D356" s="270"/>
      <c r="E356" s="273"/>
      <c r="F356" s="272"/>
    </row>
    <row r="357" spans="2:6">
      <c r="B357" s="270"/>
      <c r="C357" s="270"/>
      <c r="D357" s="270"/>
      <c r="E357" s="273"/>
      <c r="F357" s="272"/>
    </row>
    <row r="358" spans="2:6">
      <c r="B358" s="270"/>
      <c r="C358" s="270"/>
      <c r="D358" s="270"/>
      <c r="E358" s="273"/>
      <c r="F358" s="272"/>
    </row>
    <row r="359" spans="2:6">
      <c r="B359" s="270"/>
      <c r="C359" s="270"/>
      <c r="D359" s="270"/>
      <c r="E359" s="273"/>
      <c r="F359" s="272"/>
    </row>
    <row r="360" spans="2:6">
      <c r="B360" s="270"/>
      <c r="C360" s="270"/>
      <c r="D360" s="270"/>
      <c r="E360" s="273"/>
      <c r="F360" s="272"/>
    </row>
    <row r="361" spans="2:6">
      <c r="B361" s="270"/>
      <c r="C361" s="270"/>
      <c r="D361" s="270"/>
      <c r="E361" s="273"/>
      <c r="F361" s="272"/>
    </row>
    <row r="362" spans="2:6">
      <c r="B362" s="270"/>
      <c r="C362" s="270"/>
      <c r="D362" s="270"/>
      <c r="E362" s="273"/>
      <c r="F362" s="272"/>
    </row>
    <row r="363" spans="2:6">
      <c r="B363" s="270"/>
      <c r="C363" s="270"/>
      <c r="D363" s="270"/>
      <c r="E363" s="273"/>
      <c r="F363" s="272"/>
    </row>
    <row r="364" spans="2:6">
      <c r="B364" s="270"/>
      <c r="C364" s="270"/>
      <c r="D364" s="270"/>
      <c r="E364" s="273"/>
      <c r="F364" s="272"/>
    </row>
    <row r="365" spans="2:6">
      <c r="B365" s="270"/>
      <c r="C365" s="270"/>
      <c r="D365" s="270"/>
      <c r="E365" s="273"/>
      <c r="F365" s="272"/>
    </row>
    <row r="366" spans="2:6">
      <c r="B366" s="270"/>
      <c r="C366" s="270"/>
      <c r="D366" s="270"/>
      <c r="E366" s="273"/>
      <c r="F366" s="272"/>
    </row>
    <row r="367" spans="2:6">
      <c r="B367" s="270"/>
      <c r="C367" s="270"/>
      <c r="D367" s="270"/>
      <c r="E367" s="273"/>
      <c r="F367" s="272"/>
    </row>
    <row r="368" spans="2:6">
      <c r="B368" s="270"/>
      <c r="C368" s="270"/>
      <c r="D368" s="270"/>
      <c r="E368" s="273"/>
      <c r="F368" s="272"/>
    </row>
    <row r="369" spans="2:6">
      <c r="B369" s="270"/>
      <c r="C369" s="270"/>
      <c r="D369" s="270"/>
      <c r="E369" s="273"/>
      <c r="F369" s="272"/>
    </row>
    <row r="370" spans="2:6">
      <c r="B370" s="270"/>
      <c r="C370" s="270"/>
      <c r="D370" s="270"/>
      <c r="E370" s="273"/>
      <c r="F370" s="272"/>
    </row>
    <row r="371" spans="2:6">
      <c r="B371" s="270"/>
      <c r="C371" s="270"/>
      <c r="D371" s="270"/>
      <c r="E371" s="273"/>
      <c r="F371" s="272"/>
    </row>
    <row r="372" spans="2:6">
      <c r="B372" s="270"/>
      <c r="C372" s="270"/>
      <c r="D372" s="270"/>
      <c r="E372" s="273"/>
      <c r="F372" s="272"/>
    </row>
    <row r="373" spans="2:6">
      <c r="B373" s="270"/>
      <c r="C373" s="270"/>
      <c r="D373" s="270"/>
      <c r="E373" s="273"/>
      <c r="F373" s="272"/>
    </row>
    <row r="374" spans="2:6">
      <c r="B374" s="270"/>
      <c r="C374" s="270"/>
      <c r="D374" s="270"/>
      <c r="E374" s="273"/>
      <c r="F374" s="272"/>
    </row>
    <row r="375" spans="2:6">
      <c r="B375" s="270"/>
      <c r="C375" s="270"/>
      <c r="D375" s="270"/>
      <c r="E375" s="273"/>
      <c r="F375" s="272"/>
    </row>
    <row r="376" spans="2:6">
      <c r="B376" s="270"/>
      <c r="C376" s="270"/>
      <c r="D376" s="270"/>
      <c r="E376" s="273"/>
      <c r="F376" s="272"/>
    </row>
    <row r="377" spans="2:6">
      <c r="B377" s="270"/>
      <c r="C377" s="270"/>
      <c r="D377" s="270"/>
      <c r="E377" s="273"/>
      <c r="F377" s="272"/>
    </row>
    <row r="378" spans="2:6">
      <c r="B378" s="270"/>
      <c r="C378" s="270"/>
      <c r="D378" s="270"/>
      <c r="E378" s="273"/>
      <c r="F378" s="272"/>
    </row>
    <row r="379" spans="2:6">
      <c r="B379" s="270"/>
      <c r="C379" s="270"/>
      <c r="D379" s="270"/>
      <c r="E379" s="273"/>
      <c r="F379" s="272"/>
    </row>
    <row r="380" spans="2:6">
      <c r="B380" s="270"/>
      <c r="C380" s="270"/>
      <c r="D380" s="270"/>
      <c r="E380" s="273"/>
      <c r="F380" s="272"/>
    </row>
    <row r="381" spans="2:6">
      <c r="B381" s="270"/>
      <c r="C381" s="270"/>
      <c r="D381" s="270"/>
      <c r="E381" s="273"/>
      <c r="F381" s="272"/>
    </row>
    <row r="382" spans="2:6">
      <c r="B382" s="270"/>
      <c r="C382" s="270"/>
      <c r="D382" s="270"/>
      <c r="E382" s="273"/>
      <c r="F382" s="272"/>
    </row>
    <row r="383" spans="2:6">
      <c r="B383" s="270"/>
      <c r="C383" s="270"/>
      <c r="D383" s="270"/>
      <c r="E383" s="273"/>
      <c r="F383" s="272"/>
    </row>
    <row r="384" spans="2:6">
      <c r="B384" s="270"/>
      <c r="C384" s="270"/>
      <c r="D384" s="270"/>
      <c r="E384" s="273"/>
      <c r="F384" s="272"/>
    </row>
    <row r="385" spans="2:6">
      <c r="B385" s="270"/>
      <c r="C385" s="270"/>
      <c r="D385" s="270"/>
      <c r="E385" s="273"/>
      <c r="F385" s="272"/>
    </row>
    <row r="386" spans="2:6">
      <c r="B386" s="270"/>
      <c r="C386" s="270"/>
      <c r="D386" s="270"/>
      <c r="E386" s="273"/>
      <c r="F386" s="272"/>
    </row>
    <row r="387" spans="2:6">
      <c r="B387" s="270"/>
      <c r="C387" s="270"/>
      <c r="D387" s="270"/>
      <c r="E387" s="273"/>
      <c r="F387" s="272"/>
    </row>
    <row r="388" spans="2:6">
      <c r="B388" s="270"/>
      <c r="C388" s="270"/>
      <c r="D388" s="270"/>
      <c r="E388" s="273"/>
      <c r="F388" s="272"/>
    </row>
    <row r="389" spans="2:6">
      <c r="B389" s="270"/>
      <c r="C389" s="270"/>
      <c r="D389" s="270"/>
      <c r="E389" s="273"/>
      <c r="F389" s="272"/>
    </row>
    <row r="390" spans="2:6">
      <c r="B390" s="270"/>
      <c r="C390" s="270"/>
      <c r="D390" s="270"/>
      <c r="E390" s="273"/>
      <c r="F390" s="272"/>
    </row>
    <row r="391" spans="2:6">
      <c r="B391" s="270"/>
      <c r="C391" s="270"/>
      <c r="D391" s="270"/>
      <c r="E391" s="273"/>
      <c r="F391" s="272"/>
    </row>
    <row r="392" spans="2:6">
      <c r="B392" s="270"/>
      <c r="C392" s="270"/>
      <c r="D392" s="270"/>
      <c r="E392" s="273"/>
      <c r="F392" s="272"/>
    </row>
    <row r="393" spans="2:6">
      <c r="B393" s="270"/>
      <c r="C393" s="270"/>
      <c r="D393" s="270"/>
      <c r="E393" s="273"/>
      <c r="F393" s="272"/>
    </row>
    <row r="394" spans="2:6">
      <c r="B394" s="270"/>
      <c r="C394" s="270"/>
      <c r="D394" s="270"/>
      <c r="E394" s="273"/>
      <c r="F394" s="272"/>
    </row>
    <row r="395" spans="2:6">
      <c r="B395" s="270"/>
      <c r="C395" s="270"/>
      <c r="D395" s="270"/>
      <c r="E395" s="273"/>
      <c r="F395" s="272"/>
    </row>
    <row r="396" spans="2:6">
      <c r="B396" s="270"/>
      <c r="C396" s="270"/>
      <c r="D396" s="270"/>
      <c r="E396" s="273"/>
      <c r="F396" s="272"/>
    </row>
    <row r="397" spans="2:6">
      <c r="B397" s="270"/>
      <c r="C397" s="270"/>
      <c r="D397" s="270"/>
      <c r="E397" s="273"/>
      <c r="F397" s="272"/>
    </row>
    <row r="398" spans="2:6">
      <c r="B398" s="270"/>
      <c r="C398" s="270"/>
      <c r="D398" s="270"/>
      <c r="E398" s="273"/>
      <c r="F398" s="272"/>
    </row>
    <row r="399" spans="2:6">
      <c r="B399" s="270"/>
      <c r="C399" s="270"/>
      <c r="D399" s="270"/>
      <c r="E399" s="273"/>
      <c r="F399" s="272"/>
    </row>
    <row r="400" spans="2:6">
      <c r="B400" s="270"/>
      <c r="C400" s="270"/>
      <c r="D400" s="270"/>
      <c r="E400" s="273"/>
      <c r="F400" s="272"/>
    </row>
    <row r="401" spans="2:6">
      <c r="B401" s="270"/>
      <c r="C401" s="270"/>
      <c r="D401" s="270"/>
      <c r="E401" s="273"/>
      <c r="F401" s="272"/>
    </row>
    <row r="402" spans="2:6">
      <c r="B402" s="270"/>
      <c r="C402" s="270"/>
      <c r="D402" s="270"/>
      <c r="E402" s="273"/>
      <c r="F402" s="272"/>
    </row>
    <row r="403" spans="2:6">
      <c r="B403" s="270"/>
      <c r="C403" s="270"/>
      <c r="D403" s="270"/>
      <c r="E403" s="273"/>
      <c r="F403" s="272"/>
    </row>
    <row r="404" spans="2:6">
      <c r="B404" s="270"/>
      <c r="C404" s="270"/>
      <c r="D404" s="270"/>
      <c r="E404" s="273"/>
      <c r="F404" s="272"/>
    </row>
    <row r="405" spans="2:6">
      <c r="B405" s="270"/>
      <c r="C405" s="270"/>
      <c r="D405" s="270"/>
      <c r="E405" s="273"/>
      <c r="F405" s="272"/>
    </row>
    <row r="406" spans="2:6">
      <c r="B406" s="270"/>
      <c r="C406" s="270"/>
      <c r="D406" s="270"/>
      <c r="E406" s="273"/>
      <c r="F406" s="272"/>
    </row>
    <row r="407" spans="2:6">
      <c r="B407" s="270"/>
      <c r="C407" s="270"/>
      <c r="D407" s="270"/>
      <c r="E407" s="273"/>
      <c r="F407" s="272"/>
    </row>
    <row r="408" spans="2:6">
      <c r="B408" s="270"/>
      <c r="C408" s="270"/>
      <c r="D408" s="270"/>
      <c r="E408" s="273"/>
      <c r="F408" s="272"/>
    </row>
    <row r="409" spans="2:6">
      <c r="B409" s="270"/>
      <c r="C409" s="270"/>
      <c r="D409" s="270"/>
      <c r="E409" s="273"/>
      <c r="F409" s="272"/>
    </row>
    <row r="410" spans="2:6">
      <c r="B410" s="270"/>
      <c r="C410" s="270"/>
      <c r="D410" s="270"/>
      <c r="E410" s="273"/>
      <c r="F410" s="272"/>
    </row>
    <row r="411" spans="2:6">
      <c r="B411" s="270"/>
      <c r="C411" s="270"/>
      <c r="D411" s="270"/>
      <c r="E411" s="273"/>
      <c r="F411" s="272"/>
    </row>
    <row r="412" spans="2:6">
      <c r="B412" s="270"/>
      <c r="C412" s="270"/>
      <c r="D412" s="270"/>
      <c r="E412" s="273"/>
      <c r="F412" s="272"/>
    </row>
    <row r="413" spans="2:6">
      <c r="B413" s="270"/>
      <c r="C413" s="270"/>
      <c r="D413" s="270"/>
      <c r="E413" s="273"/>
      <c r="F413" s="272"/>
    </row>
    <row r="414" spans="2:6">
      <c r="B414" s="270"/>
      <c r="C414" s="270"/>
      <c r="D414" s="270"/>
      <c r="E414" s="273"/>
      <c r="F414" s="272"/>
    </row>
    <row r="415" spans="2:6">
      <c r="B415" s="270"/>
      <c r="C415" s="270"/>
      <c r="D415" s="270"/>
      <c r="E415" s="273"/>
      <c r="F415" s="272"/>
    </row>
    <row r="416" spans="2:6">
      <c r="B416" s="270"/>
      <c r="C416" s="270"/>
      <c r="D416" s="270"/>
      <c r="E416" s="273"/>
      <c r="F416" s="272"/>
    </row>
    <row r="417" spans="2:6">
      <c r="B417" s="270"/>
      <c r="C417" s="270"/>
      <c r="D417" s="270"/>
      <c r="E417" s="273"/>
      <c r="F417" s="272"/>
    </row>
    <row r="418" spans="2:6">
      <c r="B418" s="270"/>
      <c r="C418" s="270"/>
      <c r="D418" s="270"/>
      <c r="E418" s="273"/>
      <c r="F418" s="272"/>
    </row>
    <row r="419" spans="2:6">
      <c r="B419" s="270"/>
      <c r="C419" s="270"/>
      <c r="D419" s="270"/>
      <c r="E419" s="273"/>
      <c r="F419" s="272"/>
    </row>
    <row r="420" spans="2:6">
      <c r="B420" s="270"/>
      <c r="C420" s="270"/>
      <c r="D420" s="270"/>
      <c r="E420" s="273"/>
      <c r="F420" s="272"/>
    </row>
    <row r="421" spans="2:6">
      <c r="B421" s="270"/>
      <c r="C421" s="270"/>
      <c r="D421" s="270"/>
      <c r="E421" s="273"/>
      <c r="F421" s="272"/>
    </row>
    <row r="422" spans="2:6">
      <c r="B422" s="270"/>
      <c r="C422" s="270"/>
      <c r="D422" s="270"/>
      <c r="E422" s="273"/>
      <c r="F422" s="272"/>
    </row>
    <row r="423" spans="2:6">
      <c r="B423" s="270"/>
      <c r="C423" s="270"/>
      <c r="D423" s="270"/>
      <c r="E423" s="273"/>
      <c r="F423" s="272"/>
    </row>
    <row r="424" spans="2:6">
      <c r="B424" s="270"/>
      <c r="C424" s="270"/>
      <c r="D424" s="270"/>
      <c r="E424" s="273"/>
      <c r="F424" s="272"/>
    </row>
    <row r="425" spans="2:6">
      <c r="B425" s="270"/>
      <c r="C425" s="270"/>
      <c r="D425" s="270"/>
      <c r="E425" s="273"/>
      <c r="F425" s="272"/>
    </row>
    <row r="426" spans="2:6">
      <c r="B426" s="270"/>
      <c r="C426" s="270"/>
      <c r="D426" s="270"/>
      <c r="E426" s="273"/>
      <c r="F426" s="272"/>
    </row>
    <row r="427" spans="2:6">
      <c r="B427" s="270"/>
      <c r="C427" s="270"/>
      <c r="D427" s="270"/>
      <c r="E427" s="273"/>
      <c r="F427" s="272"/>
    </row>
    <row r="428" spans="2:6">
      <c r="B428" s="270"/>
      <c r="C428" s="270"/>
      <c r="D428" s="270"/>
      <c r="E428" s="273"/>
      <c r="F428" s="272"/>
    </row>
    <row r="429" spans="2:6">
      <c r="B429" s="270"/>
      <c r="C429" s="270"/>
      <c r="D429" s="270"/>
      <c r="E429" s="273"/>
      <c r="F429" s="272"/>
    </row>
    <row r="430" spans="2:6">
      <c r="B430" s="270"/>
      <c r="C430" s="270"/>
      <c r="D430" s="270"/>
      <c r="E430" s="273"/>
      <c r="F430" s="272"/>
    </row>
    <row r="431" spans="2:6">
      <c r="B431" s="270"/>
      <c r="C431" s="270"/>
      <c r="D431" s="270"/>
      <c r="E431" s="273"/>
      <c r="F431" s="272"/>
    </row>
    <row r="432" spans="2:6">
      <c r="B432" s="270"/>
      <c r="C432" s="270"/>
      <c r="D432" s="270"/>
      <c r="E432" s="273"/>
      <c r="F432" s="272"/>
    </row>
    <row r="433" spans="2:6">
      <c r="B433" s="270"/>
      <c r="C433" s="270"/>
      <c r="D433" s="270"/>
      <c r="E433" s="273"/>
      <c r="F433" s="272"/>
    </row>
    <row r="434" spans="2:6">
      <c r="B434" s="270"/>
      <c r="C434" s="270"/>
      <c r="D434" s="270"/>
      <c r="E434" s="273"/>
      <c r="F434" s="272"/>
    </row>
    <row r="435" spans="2:6">
      <c r="B435" s="270"/>
      <c r="C435" s="270"/>
      <c r="D435" s="270"/>
      <c r="E435" s="273"/>
      <c r="F435" s="272"/>
    </row>
    <row r="436" spans="2:6">
      <c r="B436" s="270"/>
      <c r="C436" s="270"/>
      <c r="D436" s="270"/>
      <c r="E436" s="273"/>
      <c r="F436" s="272"/>
    </row>
    <row r="437" spans="2:6">
      <c r="B437" s="270"/>
      <c r="C437" s="270"/>
      <c r="D437" s="270"/>
      <c r="E437" s="273"/>
      <c r="F437" s="272"/>
    </row>
    <row r="438" spans="2:6">
      <c r="B438" s="270"/>
      <c r="C438" s="270"/>
      <c r="D438" s="270"/>
      <c r="E438" s="273"/>
      <c r="F438" s="272"/>
    </row>
    <row r="439" spans="2:6">
      <c r="B439" s="270"/>
      <c r="C439" s="270"/>
      <c r="D439" s="270"/>
      <c r="E439" s="273"/>
      <c r="F439" s="272"/>
    </row>
    <row r="440" spans="2:6">
      <c r="B440" s="270"/>
      <c r="C440" s="270"/>
      <c r="D440" s="270"/>
      <c r="E440" s="273"/>
      <c r="F440" s="272"/>
    </row>
    <row r="441" spans="2:6">
      <c r="B441" s="270"/>
      <c r="C441" s="270"/>
      <c r="D441" s="270"/>
      <c r="E441" s="273"/>
      <c r="F441" s="272"/>
    </row>
    <row r="442" spans="2:6">
      <c r="B442" s="270"/>
      <c r="C442" s="270"/>
      <c r="D442" s="270"/>
      <c r="E442" s="273"/>
      <c r="F442" s="272"/>
    </row>
    <row r="443" spans="2:6">
      <c r="B443" s="270"/>
      <c r="C443" s="270"/>
      <c r="D443" s="270"/>
      <c r="E443" s="273"/>
      <c r="F443" s="272"/>
    </row>
    <row r="444" spans="2:6">
      <c r="B444" s="270"/>
      <c r="C444" s="270"/>
      <c r="D444" s="270"/>
      <c r="E444" s="273"/>
      <c r="F444" s="272"/>
    </row>
    <row r="445" spans="2:6">
      <c r="B445" s="270"/>
      <c r="C445" s="270"/>
      <c r="D445" s="270"/>
      <c r="E445" s="273"/>
      <c r="F445" s="272"/>
    </row>
    <row r="446" spans="2:6">
      <c r="B446" s="270"/>
      <c r="C446" s="270"/>
      <c r="D446" s="270"/>
      <c r="E446" s="273"/>
      <c r="F446" s="272"/>
    </row>
    <row r="447" spans="2:6">
      <c r="B447" s="270"/>
      <c r="C447" s="270"/>
      <c r="D447" s="270"/>
      <c r="E447" s="273"/>
      <c r="F447" s="272"/>
    </row>
    <row r="448" spans="2:6">
      <c r="B448" s="270"/>
      <c r="C448" s="270"/>
      <c r="D448" s="270"/>
      <c r="E448" s="273"/>
      <c r="F448" s="272"/>
    </row>
    <row r="449" spans="2:6">
      <c r="B449" s="270"/>
      <c r="C449" s="270"/>
      <c r="D449" s="270"/>
      <c r="E449" s="273"/>
      <c r="F449" s="272"/>
    </row>
    <row r="450" spans="2:6">
      <c r="B450" s="270"/>
      <c r="C450" s="270"/>
      <c r="D450" s="270"/>
      <c r="E450" s="273"/>
      <c r="F450" s="272"/>
    </row>
    <row r="451" spans="2:6">
      <c r="B451" s="270"/>
      <c r="C451" s="270"/>
      <c r="D451" s="270"/>
      <c r="E451" s="273"/>
      <c r="F451" s="272"/>
    </row>
    <row r="452" spans="2:6">
      <c r="B452" s="270"/>
      <c r="C452" s="270"/>
      <c r="D452" s="270"/>
      <c r="E452" s="273"/>
      <c r="F452" s="272"/>
    </row>
    <row r="453" spans="2:6">
      <c r="B453" s="270"/>
      <c r="C453" s="270"/>
      <c r="D453" s="270"/>
      <c r="E453" s="273"/>
      <c r="F453" s="272"/>
    </row>
    <row r="454" spans="2:6">
      <c r="B454" s="270"/>
      <c r="C454" s="270"/>
      <c r="D454" s="270"/>
      <c r="E454" s="273"/>
      <c r="F454" s="272"/>
    </row>
    <row r="455" spans="2:6">
      <c r="B455" s="270"/>
      <c r="C455" s="270"/>
      <c r="D455" s="270"/>
      <c r="E455" s="273"/>
      <c r="F455" s="272"/>
    </row>
    <row r="456" spans="2:6">
      <c r="B456" s="270"/>
      <c r="C456" s="270"/>
      <c r="D456" s="270"/>
      <c r="E456" s="273"/>
      <c r="F456" s="272"/>
    </row>
    <row r="457" spans="2:6">
      <c r="B457" s="270"/>
      <c r="C457" s="270"/>
      <c r="D457" s="270"/>
      <c r="E457" s="273"/>
      <c r="F457" s="272"/>
    </row>
    <row r="458" spans="2:6">
      <c r="B458" s="270"/>
      <c r="C458" s="270"/>
      <c r="D458" s="270"/>
      <c r="E458" s="273"/>
      <c r="F458" s="272"/>
    </row>
    <row r="459" spans="2:6">
      <c r="B459" s="270"/>
      <c r="C459" s="270"/>
      <c r="D459" s="270"/>
      <c r="E459" s="273"/>
      <c r="F459" s="272"/>
    </row>
    <row r="460" spans="2:6">
      <c r="B460" s="270"/>
      <c r="C460" s="270"/>
      <c r="D460" s="270"/>
      <c r="E460" s="273"/>
      <c r="F460" s="272"/>
    </row>
    <row r="461" spans="2:6">
      <c r="B461" s="270"/>
      <c r="C461" s="270"/>
      <c r="D461" s="270"/>
      <c r="E461" s="273"/>
      <c r="F461" s="272"/>
    </row>
    <row r="462" spans="2:6">
      <c r="B462" s="270"/>
      <c r="C462" s="270"/>
      <c r="D462" s="270"/>
      <c r="E462" s="273"/>
      <c r="F462" s="272"/>
    </row>
    <row r="463" spans="2:6">
      <c r="B463" s="270"/>
      <c r="C463" s="270"/>
      <c r="D463" s="270"/>
      <c r="E463" s="273"/>
      <c r="F463" s="272"/>
    </row>
    <row r="464" spans="2:6">
      <c r="B464" s="270"/>
      <c r="C464" s="270"/>
      <c r="D464" s="270"/>
      <c r="E464" s="273"/>
      <c r="F464" s="272"/>
    </row>
    <row r="465" spans="2:6">
      <c r="B465" s="270"/>
      <c r="C465" s="270"/>
      <c r="D465" s="270"/>
      <c r="E465" s="273"/>
      <c r="F465" s="272"/>
    </row>
    <row r="466" spans="2:6">
      <c r="B466" s="270"/>
      <c r="C466" s="270"/>
      <c r="D466" s="270"/>
      <c r="E466" s="273"/>
      <c r="F466" s="272"/>
    </row>
    <row r="467" spans="2:6">
      <c r="B467" s="270"/>
      <c r="C467" s="270"/>
      <c r="D467" s="270"/>
      <c r="E467" s="273"/>
      <c r="F467" s="272"/>
    </row>
    <row r="468" spans="2:6">
      <c r="B468" s="270"/>
      <c r="C468" s="270"/>
      <c r="D468" s="270"/>
      <c r="E468" s="273"/>
      <c r="F468" s="272"/>
    </row>
    <row r="469" spans="2:6">
      <c r="B469" s="270"/>
      <c r="C469" s="270"/>
      <c r="D469" s="270"/>
      <c r="E469" s="273"/>
      <c r="F469" s="272"/>
    </row>
    <row r="470" spans="2:6">
      <c r="B470" s="270"/>
      <c r="C470" s="270"/>
      <c r="D470" s="270"/>
      <c r="E470" s="273"/>
      <c r="F470" s="272"/>
    </row>
    <row r="471" spans="2:6">
      <c r="B471" s="270"/>
      <c r="C471" s="270"/>
      <c r="D471" s="270"/>
      <c r="E471" s="273"/>
      <c r="F471" s="272"/>
    </row>
    <row r="472" spans="2:6">
      <c r="B472" s="270"/>
      <c r="C472" s="270"/>
      <c r="D472" s="270"/>
      <c r="E472" s="273"/>
      <c r="F472" s="272"/>
    </row>
    <row r="473" spans="2:6">
      <c r="B473" s="270"/>
      <c r="C473" s="270"/>
      <c r="D473" s="270"/>
      <c r="E473" s="273"/>
      <c r="F473" s="272"/>
    </row>
    <row r="474" spans="2:6">
      <c r="B474" s="270"/>
      <c r="C474" s="270"/>
      <c r="D474" s="270"/>
      <c r="E474" s="273"/>
      <c r="F474" s="272"/>
    </row>
    <row r="475" spans="2:6">
      <c r="B475" s="270"/>
      <c r="C475" s="270"/>
      <c r="D475" s="270"/>
      <c r="E475" s="273"/>
      <c r="F475" s="272"/>
    </row>
    <row r="476" spans="2:6">
      <c r="B476" s="270"/>
      <c r="C476" s="270"/>
      <c r="D476" s="270"/>
      <c r="E476" s="273"/>
      <c r="F476" s="272"/>
    </row>
    <row r="477" spans="2:6">
      <c r="B477" s="270"/>
      <c r="C477" s="270"/>
      <c r="D477" s="270"/>
      <c r="E477" s="273"/>
      <c r="F477" s="272"/>
    </row>
    <row r="478" spans="2:6">
      <c r="B478" s="270"/>
      <c r="C478" s="270"/>
      <c r="D478" s="270"/>
      <c r="E478" s="273"/>
      <c r="F478" s="272"/>
    </row>
    <row r="479" spans="2:6">
      <c r="B479" s="270"/>
      <c r="C479" s="270"/>
      <c r="D479" s="270"/>
      <c r="E479" s="273"/>
      <c r="F479" s="272"/>
    </row>
    <row r="480" spans="2:6">
      <c r="B480" s="270"/>
      <c r="C480" s="270"/>
      <c r="D480" s="270"/>
      <c r="E480" s="273"/>
      <c r="F480" s="272"/>
    </row>
    <row r="481" spans="2:6">
      <c r="B481" s="270"/>
      <c r="C481" s="270"/>
      <c r="D481" s="270"/>
      <c r="E481" s="273"/>
      <c r="F481" s="272"/>
    </row>
    <row r="482" spans="2:6">
      <c r="B482" s="270"/>
      <c r="C482" s="270"/>
      <c r="D482" s="270"/>
      <c r="E482" s="273"/>
      <c r="F482" s="272"/>
    </row>
    <row r="483" spans="2:6">
      <c r="B483" s="270"/>
      <c r="C483" s="270"/>
      <c r="D483" s="270"/>
      <c r="E483" s="273"/>
      <c r="F483" s="272"/>
    </row>
    <row r="484" spans="2:6">
      <c r="B484" s="270"/>
      <c r="C484" s="270"/>
      <c r="D484" s="270"/>
      <c r="E484" s="273"/>
      <c r="F484" s="272"/>
    </row>
    <row r="485" spans="2:6">
      <c r="B485" s="270"/>
      <c r="C485" s="270"/>
      <c r="D485" s="270"/>
      <c r="E485" s="273"/>
      <c r="F485" s="272"/>
    </row>
    <row r="486" spans="2:6">
      <c r="B486" s="270"/>
      <c r="C486" s="270"/>
      <c r="D486" s="270"/>
      <c r="E486" s="273"/>
      <c r="F486" s="272"/>
    </row>
    <row r="487" spans="2:6">
      <c r="B487" s="270"/>
      <c r="C487" s="270"/>
      <c r="D487" s="270"/>
      <c r="E487" s="273"/>
      <c r="F487" s="272"/>
    </row>
    <row r="488" spans="2:6">
      <c r="B488" s="270"/>
      <c r="C488" s="270"/>
      <c r="D488" s="270"/>
      <c r="E488" s="273"/>
      <c r="F488" s="272"/>
    </row>
    <row r="489" spans="2:6">
      <c r="B489" s="270"/>
      <c r="C489" s="270"/>
      <c r="D489" s="270"/>
      <c r="E489" s="273"/>
      <c r="F489" s="272"/>
    </row>
    <row r="490" spans="2:6">
      <c r="B490" s="270"/>
      <c r="C490" s="270"/>
      <c r="D490" s="270"/>
      <c r="E490" s="273"/>
      <c r="F490" s="272"/>
    </row>
    <row r="491" spans="2:6">
      <c r="B491" s="270"/>
      <c r="C491" s="270"/>
      <c r="D491" s="270"/>
      <c r="E491" s="273"/>
      <c r="F491" s="272"/>
    </row>
    <row r="492" spans="2:6">
      <c r="B492" s="270"/>
      <c r="C492" s="270"/>
      <c r="D492" s="270"/>
      <c r="E492" s="273"/>
      <c r="F492" s="272"/>
    </row>
    <row r="493" spans="2:6">
      <c r="B493" s="270"/>
      <c r="C493" s="270"/>
      <c r="D493" s="270"/>
      <c r="E493" s="273"/>
      <c r="F493" s="272"/>
    </row>
    <row r="494" spans="2:6">
      <c r="B494" s="270"/>
      <c r="C494" s="270"/>
      <c r="D494" s="270"/>
      <c r="E494" s="273"/>
      <c r="F494" s="272"/>
    </row>
    <row r="495" spans="2:6">
      <c r="B495" s="270"/>
      <c r="C495" s="270"/>
      <c r="D495" s="270"/>
      <c r="E495" s="273"/>
      <c r="F495" s="272"/>
    </row>
    <row r="496" spans="2:6">
      <c r="B496" s="270"/>
      <c r="C496" s="270"/>
      <c r="D496" s="270"/>
      <c r="E496" s="273"/>
      <c r="F496" s="272"/>
    </row>
    <row r="497" spans="2:6">
      <c r="B497" s="270"/>
      <c r="C497" s="270"/>
      <c r="D497" s="270"/>
      <c r="E497" s="273"/>
      <c r="F497" s="272"/>
    </row>
    <row r="498" spans="2:6">
      <c r="B498" s="270"/>
      <c r="C498" s="270"/>
      <c r="D498" s="270"/>
      <c r="E498" s="273"/>
      <c r="F498" s="272"/>
    </row>
    <row r="499" spans="2:6">
      <c r="B499" s="270"/>
      <c r="C499" s="270"/>
      <c r="D499" s="270"/>
      <c r="E499" s="273"/>
      <c r="F499" s="272"/>
    </row>
    <row r="500" spans="2:6">
      <c r="B500" s="270"/>
      <c r="C500" s="270"/>
      <c r="D500" s="270"/>
      <c r="E500" s="273"/>
      <c r="F500" s="272"/>
    </row>
    <row r="501" spans="2:6">
      <c r="F501" s="275"/>
    </row>
    <row r="502" spans="2:6">
      <c r="F502" s="275"/>
    </row>
    <row r="503" spans="2:6">
      <c r="F503" s="275"/>
    </row>
    <row r="504" spans="2:6">
      <c r="F504" s="275"/>
    </row>
    <row r="505" spans="2:6">
      <c r="F505" s="275"/>
    </row>
    <row r="506" spans="2:6">
      <c r="F506" s="275"/>
    </row>
    <row r="507" spans="2:6">
      <c r="F507" s="275"/>
    </row>
    <row r="508" spans="2:6">
      <c r="F508" s="275"/>
    </row>
    <row r="509" spans="2:6">
      <c r="F509" s="275"/>
    </row>
    <row r="510" spans="2:6">
      <c r="F510" s="275"/>
    </row>
    <row r="511" spans="2:6">
      <c r="F511" s="275"/>
    </row>
    <row r="512" spans="2:6">
      <c r="F512" s="275"/>
    </row>
    <row r="513" spans="6:6">
      <c r="F513" s="275"/>
    </row>
    <row r="514" spans="6:6">
      <c r="F514" s="275"/>
    </row>
    <row r="515" spans="6:6">
      <c r="F515" s="275"/>
    </row>
    <row r="516" spans="6:6">
      <c r="F516" s="275"/>
    </row>
    <row r="517" spans="6:6">
      <c r="F517" s="275"/>
    </row>
    <row r="518" spans="6:6">
      <c r="F518" s="275"/>
    </row>
    <row r="519" spans="6:6">
      <c r="F519" s="275"/>
    </row>
    <row r="520" spans="6:6">
      <c r="F520" s="275"/>
    </row>
    <row r="521" spans="6:6">
      <c r="F521" s="275"/>
    </row>
    <row r="522" spans="6:6">
      <c r="F522" s="275"/>
    </row>
    <row r="523" spans="6:6">
      <c r="F523" s="275"/>
    </row>
    <row r="524" spans="6:6">
      <c r="F524" s="275"/>
    </row>
    <row r="525" spans="6:6">
      <c r="F525" s="275"/>
    </row>
    <row r="526" spans="6:6">
      <c r="F526" s="275"/>
    </row>
    <row r="527" spans="6:6">
      <c r="F527" s="275"/>
    </row>
    <row r="528" spans="6:6">
      <c r="F528" s="275"/>
    </row>
    <row r="529" spans="6:6">
      <c r="F529" s="275"/>
    </row>
    <row r="530" spans="6:6">
      <c r="F530" s="275"/>
    </row>
    <row r="531" spans="6:6">
      <c r="F531" s="275"/>
    </row>
    <row r="532" spans="6:6">
      <c r="F532" s="275"/>
    </row>
    <row r="533" spans="6:6">
      <c r="F533" s="275"/>
    </row>
    <row r="534" spans="6:6">
      <c r="F534" s="275"/>
    </row>
    <row r="535" spans="6:6">
      <c r="F535" s="275"/>
    </row>
    <row r="536" spans="6:6">
      <c r="F536" s="275"/>
    </row>
    <row r="537" spans="6:6">
      <c r="F537" s="275"/>
    </row>
    <row r="538" spans="6:6">
      <c r="F538" s="275"/>
    </row>
    <row r="539" spans="6:6">
      <c r="F539" s="275"/>
    </row>
    <row r="540" spans="6:6">
      <c r="F540" s="275"/>
    </row>
    <row r="541" spans="6:6">
      <c r="F541" s="275"/>
    </row>
    <row r="542" spans="6:6">
      <c r="F542" s="275"/>
    </row>
    <row r="543" spans="6:6">
      <c r="F543" s="275"/>
    </row>
    <row r="544" spans="6:6">
      <c r="F544" s="275"/>
    </row>
    <row r="545" spans="6:6">
      <c r="F545" s="275"/>
    </row>
    <row r="546" spans="6:6">
      <c r="F546" s="275"/>
    </row>
    <row r="547" spans="6:6">
      <c r="F547" s="275"/>
    </row>
    <row r="548" spans="6:6">
      <c r="F548" s="275"/>
    </row>
    <row r="549" spans="6:6">
      <c r="F549" s="275"/>
    </row>
    <row r="550" spans="6:6">
      <c r="F550" s="275"/>
    </row>
    <row r="551" spans="6:6">
      <c r="F551" s="275"/>
    </row>
    <row r="552" spans="6:6">
      <c r="F552" s="275"/>
    </row>
    <row r="553" spans="6:6">
      <c r="F553" s="275"/>
    </row>
    <row r="554" spans="6:6">
      <c r="F554" s="275"/>
    </row>
    <row r="555" spans="6:6">
      <c r="F555" s="275"/>
    </row>
    <row r="556" spans="6:6">
      <c r="F556" s="275"/>
    </row>
    <row r="557" spans="6:6">
      <c r="F557" s="275"/>
    </row>
    <row r="558" spans="6:6">
      <c r="F558" s="275"/>
    </row>
    <row r="559" spans="6:6">
      <c r="F559" s="275"/>
    </row>
    <row r="560" spans="6:6">
      <c r="F560" s="275"/>
    </row>
    <row r="561" spans="6:6">
      <c r="F561" s="275"/>
    </row>
    <row r="562" spans="6:6">
      <c r="F562" s="275"/>
    </row>
    <row r="563" spans="6:6">
      <c r="F563" s="275"/>
    </row>
    <row r="564" spans="6:6">
      <c r="F564" s="275"/>
    </row>
    <row r="565" spans="6:6">
      <c r="F565" s="275"/>
    </row>
    <row r="566" spans="6:6">
      <c r="F566" s="275"/>
    </row>
    <row r="567" spans="6:6">
      <c r="F567" s="275"/>
    </row>
    <row r="568" spans="6:6">
      <c r="F568" s="275"/>
    </row>
    <row r="569" spans="6:6">
      <c r="F569" s="275"/>
    </row>
    <row r="570" spans="6:6">
      <c r="F570" s="275"/>
    </row>
    <row r="571" spans="6:6">
      <c r="F571" s="275"/>
    </row>
    <row r="572" spans="6:6">
      <c r="F572" s="275"/>
    </row>
    <row r="573" spans="6:6">
      <c r="F573" s="275"/>
    </row>
    <row r="574" spans="6:6">
      <c r="F574" s="275"/>
    </row>
    <row r="575" spans="6:6">
      <c r="F575" s="275"/>
    </row>
    <row r="576" spans="6:6">
      <c r="F576" s="275"/>
    </row>
    <row r="577" spans="6:6">
      <c r="F577" s="275"/>
    </row>
    <row r="578" spans="6:6">
      <c r="F578" s="275"/>
    </row>
    <row r="579" spans="6:6">
      <c r="F579" s="275"/>
    </row>
    <row r="580" spans="6:6">
      <c r="F580" s="275"/>
    </row>
    <row r="581" spans="6:6">
      <c r="F581" s="275"/>
    </row>
    <row r="582" spans="6:6">
      <c r="F582" s="275"/>
    </row>
    <row r="583" spans="6:6">
      <c r="F583" s="275"/>
    </row>
    <row r="584" spans="6:6">
      <c r="F584" s="275"/>
    </row>
    <row r="585" spans="6:6">
      <c r="F585" s="275"/>
    </row>
    <row r="586" spans="6:6">
      <c r="F586" s="275"/>
    </row>
    <row r="587" spans="6:6">
      <c r="F587" s="275"/>
    </row>
    <row r="588" spans="6:6">
      <c r="F588" s="275"/>
    </row>
    <row r="589" spans="6:6">
      <c r="F589" s="275"/>
    </row>
    <row r="590" spans="6:6">
      <c r="F590" s="275"/>
    </row>
    <row r="591" spans="6:6">
      <c r="F591" s="275"/>
    </row>
    <row r="592" spans="6:6">
      <c r="F592" s="275"/>
    </row>
    <row r="593" spans="6:6">
      <c r="F593" s="275"/>
    </row>
    <row r="594" spans="6:6">
      <c r="F594" s="275"/>
    </row>
    <row r="595" spans="6:6">
      <c r="F595" s="275"/>
    </row>
    <row r="596" spans="6:6">
      <c r="F596" s="275"/>
    </row>
    <row r="597" spans="6:6">
      <c r="F597" s="275"/>
    </row>
    <row r="598" spans="6:6">
      <c r="F598" s="275"/>
    </row>
    <row r="599" spans="6:6">
      <c r="F599" s="275"/>
    </row>
    <row r="600" spans="6:6">
      <c r="F600" s="275"/>
    </row>
    <row r="601" spans="6:6">
      <c r="F601" s="275"/>
    </row>
    <row r="602" spans="6:6">
      <c r="F602" s="275"/>
    </row>
    <row r="603" spans="6:6">
      <c r="F603" s="275"/>
    </row>
    <row r="604" spans="6:6">
      <c r="F604" s="275"/>
    </row>
    <row r="605" spans="6:6">
      <c r="F605" s="275"/>
    </row>
    <row r="606" spans="6:6">
      <c r="F606" s="275"/>
    </row>
    <row r="607" spans="6:6">
      <c r="F607" s="275"/>
    </row>
    <row r="608" spans="6:6">
      <c r="F608" s="275"/>
    </row>
    <row r="609" spans="6:6">
      <c r="F609" s="275"/>
    </row>
    <row r="610" spans="6:6">
      <c r="F610" s="275"/>
    </row>
    <row r="611" spans="6:6">
      <c r="F611" s="275"/>
    </row>
    <row r="612" spans="6:6">
      <c r="F612" s="275"/>
    </row>
    <row r="613" spans="6:6">
      <c r="F613" s="275"/>
    </row>
    <row r="614" spans="6:6">
      <c r="F614" s="275"/>
    </row>
    <row r="615" spans="6:6">
      <c r="F615" s="275"/>
    </row>
    <row r="616" spans="6:6">
      <c r="F616" s="275"/>
    </row>
    <row r="617" spans="6:6">
      <c r="F617" s="275"/>
    </row>
    <row r="618" spans="6:6">
      <c r="F618" s="275"/>
    </row>
    <row r="619" spans="6:6">
      <c r="F619" s="275"/>
    </row>
    <row r="620" spans="6:6">
      <c r="F620" s="275"/>
    </row>
    <row r="621" spans="6:6">
      <c r="F621" s="275"/>
    </row>
    <row r="622" spans="6:6">
      <c r="F622" s="275"/>
    </row>
    <row r="623" spans="6:6">
      <c r="F623" s="275"/>
    </row>
    <row r="624" spans="6:6">
      <c r="F624" s="275"/>
    </row>
    <row r="625" spans="6:6">
      <c r="F625" s="275"/>
    </row>
    <row r="626" spans="6:6">
      <c r="F626" s="275"/>
    </row>
    <row r="627" spans="6:6">
      <c r="F627" s="275"/>
    </row>
    <row r="628" spans="6:6">
      <c r="F628" s="275"/>
    </row>
    <row r="629" spans="6:6">
      <c r="F629" s="275"/>
    </row>
    <row r="630" spans="6:6">
      <c r="F630" s="275"/>
    </row>
    <row r="631" spans="6:6">
      <c r="F631" s="275"/>
    </row>
    <row r="632" spans="6:6">
      <c r="F632" s="275"/>
    </row>
    <row r="633" spans="6:6">
      <c r="F633" s="275"/>
    </row>
    <row r="634" spans="6:6">
      <c r="F634" s="275"/>
    </row>
    <row r="635" spans="6:6">
      <c r="F635" s="275"/>
    </row>
    <row r="636" spans="6:6">
      <c r="F636" s="275"/>
    </row>
    <row r="637" spans="6:6">
      <c r="F637" s="275"/>
    </row>
    <row r="638" spans="6:6">
      <c r="F638" s="275"/>
    </row>
    <row r="639" spans="6:6">
      <c r="F639" s="275"/>
    </row>
    <row r="640" spans="6:6">
      <c r="F640" s="275"/>
    </row>
    <row r="641" spans="6:6">
      <c r="F641" s="275"/>
    </row>
    <row r="642" spans="6:6">
      <c r="F642" s="275"/>
    </row>
    <row r="643" spans="6:6">
      <c r="F643" s="275"/>
    </row>
    <row r="644" spans="6:6">
      <c r="F644" s="275"/>
    </row>
    <row r="645" spans="6:6">
      <c r="F645" s="275"/>
    </row>
    <row r="646" spans="6:6">
      <c r="F646" s="275"/>
    </row>
    <row r="647" spans="6:6">
      <c r="F647" s="275"/>
    </row>
    <row r="648" spans="6:6">
      <c r="F648" s="275"/>
    </row>
    <row r="649" spans="6:6">
      <c r="F649" s="275"/>
    </row>
    <row r="650" spans="6:6">
      <c r="F650" s="275"/>
    </row>
    <row r="651" spans="6:6">
      <c r="F651" s="275"/>
    </row>
    <row r="652" spans="6:6">
      <c r="F652" s="275"/>
    </row>
    <row r="653" spans="6:6">
      <c r="F653" s="275"/>
    </row>
    <row r="654" spans="6:6">
      <c r="F654" s="275"/>
    </row>
    <row r="655" spans="6:6">
      <c r="F655" s="275"/>
    </row>
    <row r="656" spans="6:6">
      <c r="F656" s="275"/>
    </row>
    <row r="657" spans="6:6">
      <c r="F657" s="275"/>
    </row>
    <row r="658" spans="6:6">
      <c r="F658" s="275"/>
    </row>
    <row r="659" spans="6:6">
      <c r="F659" s="275"/>
    </row>
    <row r="660" spans="6:6">
      <c r="F660" s="275"/>
    </row>
    <row r="661" spans="6:6">
      <c r="F661" s="275"/>
    </row>
    <row r="662" spans="6:6">
      <c r="F662" s="275"/>
    </row>
    <row r="663" spans="6:6">
      <c r="F663" s="275"/>
    </row>
    <row r="664" spans="6:6">
      <c r="F664" s="275"/>
    </row>
    <row r="665" spans="6:6">
      <c r="F665" s="275"/>
    </row>
    <row r="666" spans="6:6">
      <c r="F666" s="275"/>
    </row>
    <row r="667" spans="6:6">
      <c r="F667" s="275"/>
    </row>
    <row r="668" spans="6:6">
      <c r="F668" s="275"/>
    </row>
    <row r="669" spans="6:6">
      <c r="F669" s="275"/>
    </row>
    <row r="670" spans="6:6">
      <c r="F670" s="275"/>
    </row>
    <row r="671" spans="6:6">
      <c r="F671" s="275"/>
    </row>
    <row r="672" spans="6:6">
      <c r="F672" s="275"/>
    </row>
    <row r="673" spans="6:6">
      <c r="F673" s="275"/>
    </row>
    <row r="674" spans="6:6">
      <c r="F674" s="275"/>
    </row>
    <row r="675" spans="6:6">
      <c r="F675" s="275"/>
    </row>
    <row r="676" spans="6:6">
      <c r="F676" s="275"/>
    </row>
    <row r="677" spans="6:6">
      <c r="F677" s="275"/>
    </row>
    <row r="678" spans="6:6">
      <c r="F678" s="275"/>
    </row>
    <row r="679" spans="6:6">
      <c r="F679" s="275"/>
    </row>
    <row r="680" spans="6:6">
      <c r="F680" s="275"/>
    </row>
    <row r="681" spans="6:6">
      <c r="F681" s="275"/>
    </row>
    <row r="682" spans="6:6">
      <c r="F682" s="275"/>
    </row>
    <row r="683" spans="6:6">
      <c r="F683" s="275"/>
    </row>
    <row r="684" spans="6:6">
      <c r="F684" s="275"/>
    </row>
    <row r="685" spans="6:6">
      <c r="F685" s="275"/>
    </row>
    <row r="686" spans="6:6">
      <c r="F686" s="275"/>
    </row>
    <row r="687" spans="6:6">
      <c r="F687" s="275"/>
    </row>
    <row r="688" spans="6:6">
      <c r="F688" s="275"/>
    </row>
    <row r="689" spans="6:6">
      <c r="F689" s="275"/>
    </row>
    <row r="690" spans="6:6">
      <c r="F690" s="275"/>
    </row>
    <row r="691" spans="6:6">
      <c r="F691" s="275"/>
    </row>
    <row r="692" spans="6:6">
      <c r="F692" s="275"/>
    </row>
    <row r="693" spans="6:6">
      <c r="F693" s="275"/>
    </row>
    <row r="694" spans="6:6">
      <c r="F694" s="275"/>
    </row>
    <row r="695" spans="6:6">
      <c r="F695" s="275"/>
    </row>
    <row r="696" spans="6:6">
      <c r="F696" s="275"/>
    </row>
    <row r="697" spans="6:6">
      <c r="F697" s="275"/>
    </row>
    <row r="698" spans="6:6">
      <c r="F698" s="275"/>
    </row>
    <row r="699" spans="6:6">
      <c r="F699" s="275"/>
    </row>
    <row r="700" spans="6:6">
      <c r="F700" s="275"/>
    </row>
    <row r="701" spans="6:6">
      <c r="F701" s="275"/>
    </row>
    <row r="702" spans="6:6">
      <c r="F702" s="275"/>
    </row>
    <row r="703" spans="6:6">
      <c r="F703" s="275"/>
    </row>
    <row r="704" spans="6:6">
      <c r="F704" s="275"/>
    </row>
    <row r="705" spans="6:6">
      <c r="F705" s="275"/>
    </row>
    <row r="706" spans="6:6">
      <c r="F706" s="275"/>
    </row>
    <row r="707" spans="6:6">
      <c r="F707" s="275"/>
    </row>
    <row r="708" spans="6:6">
      <c r="F708" s="275"/>
    </row>
    <row r="709" spans="6:6">
      <c r="F709" s="275"/>
    </row>
    <row r="710" spans="6:6">
      <c r="F710" s="275"/>
    </row>
    <row r="711" spans="6:6">
      <c r="F711" s="275"/>
    </row>
    <row r="712" spans="6:6">
      <c r="F712" s="275"/>
    </row>
    <row r="713" spans="6:6">
      <c r="F713" s="275"/>
    </row>
    <row r="714" spans="6:6">
      <c r="F714" s="275"/>
    </row>
    <row r="715" spans="6:6">
      <c r="F715" s="275"/>
    </row>
    <row r="716" spans="6:6">
      <c r="F716" s="275"/>
    </row>
    <row r="717" spans="6:6">
      <c r="F717" s="275"/>
    </row>
    <row r="718" spans="6:6">
      <c r="F718" s="275"/>
    </row>
    <row r="719" spans="6:6">
      <c r="F719" s="275"/>
    </row>
    <row r="720" spans="6:6">
      <c r="F720" s="275"/>
    </row>
    <row r="721" spans="6:6">
      <c r="F721" s="275"/>
    </row>
    <row r="722" spans="6:6">
      <c r="F722" s="275"/>
    </row>
    <row r="723" spans="6:6">
      <c r="F723" s="275"/>
    </row>
    <row r="724" spans="6:6">
      <c r="F724" s="275"/>
    </row>
    <row r="725" spans="6:6">
      <c r="F725" s="275"/>
    </row>
    <row r="726" spans="6:6">
      <c r="F726" s="275"/>
    </row>
    <row r="727" spans="6:6">
      <c r="F727" s="275"/>
    </row>
    <row r="728" spans="6:6">
      <c r="F728" s="275"/>
    </row>
    <row r="729" spans="6:6">
      <c r="F729" s="275"/>
    </row>
    <row r="730" spans="6:6">
      <c r="F730" s="275"/>
    </row>
    <row r="731" spans="6:6">
      <c r="F731" s="275"/>
    </row>
    <row r="732" spans="6:6">
      <c r="F732" s="275"/>
    </row>
    <row r="733" spans="6:6">
      <c r="F733" s="275"/>
    </row>
    <row r="734" spans="6:6">
      <c r="F734" s="275"/>
    </row>
    <row r="735" spans="6:6">
      <c r="F735" s="275"/>
    </row>
    <row r="736" spans="6:6">
      <c r="F736" s="275"/>
    </row>
    <row r="737" spans="6:6">
      <c r="F737" s="275"/>
    </row>
    <row r="738" spans="6:6">
      <c r="F738" s="275"/>
    </row>
    <row r="739" spans="6:6">
      <c r="F739" s="275"/>
    </row>
    <row r="740" spans="6:6">
      <c r="F740" s="275"/>
    </row>
    <row r="741" spans="6:6">
      <c r="F741" s="275"/>
    </row>
    <row r="742" spans="6:6">
      <c r="F742" s="275"/>
    </row>
    <row r="743" spans="6:6">
      <c r="F743" s="275"/>
    </row>
    <row r="744" spans="6:6">
      <c r="F744" s="275"/>
    </row>
    <row r="745" spans="6:6">
      <c r="F745" s="275"/>
    </row>
    <row r="746" spans="6:6">
      <c r="F746" s="275"/>
    </row>
    <row r="747" spans="6:6">
      <c r="F747" s="275"/>
    </row>
    <row r="748" spans="6:6">
      <c r="F748" s="275"/>
    </row>
    <row r="749" spans="6:6">
      <c r="F749" s="275"/>
    </row>
    <row r="750" spans="6:6">
      <c r="F750" s="275"/>
    </row>
    <row r="751" spans="6:6">
      <c r="F751" s="275"/>
    </row>
    <row r="752" spans="6:6">
      <c r="F752" s="275"/>
    </row>
    <row r="753" spans="6:6">
      <c r="F753" s="275"/>
    </row>
    <row r="754" spans="6:6">
      <c r="F754" s="275"/>
    </row>
    <row r="755" spans="6:6">
      <c r="F755" s="275"/>
    </row>
    <row r="756" spans="6:6">
      <c r="F756" s="275"/>
    </row>
    <row r="757" spans="6:6">
      <c r="F757" s="275"/>
    </row>
    <row r="758" spans="6:6">
      <c r="F758" s="275"/>
    </row>
    <row r="759" spans="6:6">
      <c r="F759" s="275"/>
    </row>
    <row r="760" spans="6:6">
      <c r="F760" s="275"/>
    </row>
    <row r="761" spans="6:6">
      <c r="F761" s="275"/>
    </row>
    <row r="762" spans="6:6">
      <c r="F762" s="275"/>
    </row>
    <row r="763" spans="6:6">
      <c r="F763" s="275"/>
    </row>
    <row r="764" spans="6:6">
      <c r="F764" s="275"/>
    </row>
    <row r="765" spans="6:6">
      <c r="F765" s="275"/>
    </row>
    <row r="766" spans="6:6">
      <c r="F766" s="275"/>
    </row>
    <row r="767" spans="6:6">
      <c r="F767" s="275"/>
    </row>
    <row r="768" spans="6:6">
      <c r="F768" s="275"/>
    </row>
    <row r="769" spans="6:6">
      <c r="F769" s="275"/>
    </row>
    <row r="770" spans="6:6">
      <c r="F770" s="275"/>
    </row>
    <row r="771" spans="6:6">
      <c r="F771" s="275"/>
    </row>
    <row r="772" spans="6:6">
      <c r="F772" s="275"/>
    </row>
    <row r="773" spans="6:6">
      <c r="F773" s="275"/>
    </row>
    <row r="774" spans="6:6">
      <c r="F774" s="275"/>
    </row>
    <row r="775" spans="6:6">
      <c r="F775" s="275"/>
    </row>
    <row r="776" spans="6:6">
      <c r="F776" s="275"/>
    </row>
    <row r="777" spans="6:6">
      <c r="F777" s="275"/>
    </row>
    <row r="778" spans="6:6">
      <c r="F778" s="275"/>
    </row>
    <row r="779" spans="6:6">
      <c r="F779" s="275"/>
    </row>
    <row r="780" spans="6:6">
      <c r="F780" s="275"/>
    </row>
    <row r="781" spans="6:6">
      <c r="F781" s="275"/>
    </row>
    <row r="782" spans="6:6">
      <c r="F782" s="275"/>
    </row>
    <row r="783" spans="6:6">
      <c r="F783" s="275"/>
    </row>
    <row r="784" spans="6:6">
      <c r="F784" s="275"/>
    </row>
    <row r="785" spans="6:6">
      <c r="F785" s="275"/>
    </row>
    <row r="786" spans="6:6">
      <c r="F786" s="275"/>
    </row>
    <row r="787" spans="6:6">
      <c r="F787" s="275"/>
    </row>
    <row r="788" spans="6:6">
      <c r="F788" s="275"/>
    </row>
    <row r="789" spans="6:6">
      <c r="F789" s="275"/>
    </row>
    <row r="790" spans="6:6">
      <c r="F790" s="275"/>
    </row>
    <row r="791" spans="6:6">
      <c r="F791" s="275"/>
    </row>
    <row r="792" spans="6:6">
      <c r="F792" s="275"/>
    </row>
    <row r="793" spans="6:6">
      <c r="F793" s="275"/>
    </row>
    <row r="794" spans="6:6">
      <c r="F794" s="275"/>
    </row>
    <row r="795" spans="6:6">
      <c r="F795" s="275"/>
    </row>
    <row r="796" spans="6:6">
      <c r="F796" s="275"/>
    </row>
    <row r="797" spans="6:6">
      <c r="F797" s="275"/>
    </row>
    <row r="798" spans="6:6">
      <c r="F798" s="275"/>
    </row>
    <row r="799" spans="6:6">
      <c r="F799" s="275"/>
    </row>
    <row r="800" spans="6:6">
      <c r="F800" s="275"/>
    </row>
    <row r="801" spans="6:6">
      <c r="F801" s="275"/>
    </row>
    <row r="802" spans="6:6">
      <c r="F802" s="275"/>
    </row>
    <row r="803" spans="6:6">
      <c r="F803" s="275"/>
    </row>
    <row r="804" spans="6:6">
      <c r="F804" s="275"/>
    </row>
    <row r="805" spans="6:6">
      <c r="F805" s="275"/>
    </row>
    <row r="806" spans="6:6">
      <c r="F806" s="275"/>
    </row>
    <row r="807" spans="6:6">
      <c r="F807" s="275"/>
    </row>
    <row r="808" spans="6:6">
      <c r="F808" s="275"/>
    </row>
    <row r="809" spans="6:6">
      <c r="F809" s="275"/>
    </row>
    <row r="810" spans="6:6">
      <c r="F810" s="275"/>
    </row>
    <row r="811" spans="6:6">
      <c r="F811" s="275"/>
    </row>
    <row r="812" spans="6:6">
      <c r="F812" s="275"/>
    </row>
    <row r="813" spans="6:6">
      <c r="F813" s="275"/>
    </row>
    <row r="814" spans="6:6">
      <c r="F814" s="275"/>
    </row>
    <row r="815" spans="6:6">
      <c r="F815" s="275"/>
    </row>
    <row r="816" spans="6:6">
      <c r="F816" s="275"/>
    </row>
    <row r="817" spans="6:6">
      <c r="F817" s="275"/>
    </row>
    <row r="818" spans="6:6">
      <c r="F818" s="275"/>
    </row>
    <row r="819" spans="6:6">
      <c r="F819" s="275"/>
    </row>
    <row r="820" spans="6:6">
      <c r="F820" s="275"/>
    </row>
    <row r="821" spans="6:6">
      <c r="F821" s="275"/>
    </row>
    <row r="822" spans="6:6">
      <c r="F822" s="275"/>
    </row>
    <row r="823" spans="6:6">
      <c r="F823" s="275"/>
    </row>
    <row r="824" spans="6:6">
      <c r="F824" s="275"/>
    </row>
    <row r="825" spans="6:6">
      <c r="F825" s="275"/>
    </row>
    <row r="826" spans="6:6">
      <c r="F826" s="275"/>
    </row>
    <row r="827" spans="6:6">
      <c r="F827" s="275"/>
    </row>
    <row r="828" spans="6:6">
      <c r="F828" s="275"/>
    </row>
    <row r="829" spans="6:6">
      <c r="F829" s="275"/>
    </row>
    <row r="830" spans="6:6">
      <c r="F830" s="275"/>
    </row>
    <row r="831" spans="6:6">
      <c r="F831" s="275"/>
    </row>
    <row r="832" spans="6:6">
      <c r="F832" s="275"/>
    </row>
    <row r="833" spans="6:6">
      <c r="F833" s="275"/>
    </row>
    <row r="834" spans="6:6">
      <c r="F834" s="275"/>
    </row>
    <row r="835" spans="6:6">
      <c r="F835" s="275"/>
    </row>
    <row r="836" spans="6:6">
      <c r="F836" s="275"/>
    </row>
    <row r="837" spans="6:6">
      <c r="F837" s="275"/>
    </row>
    <row r="838" spans="6:6">
      <c r="F838" s="275"/>
    </row>
    <row r="839" spans="6:6">
      <c r="F839" s="275"/>
    </row>
    <row r="840" spans="6:6">
      <c r="F840" s="275"/>
    </row>
    <row r="841" spans="6:6">
      <c r="F841" s="275"/>
    </row>
    <row r="842" spans="6:6">
      <c r="F842" s="275"/>
    </row>
    <row r="843" spans="6:6">
      <c r="F843" s="275"/>
    </row>
    <row r="844" spans="6:6">
      <c r="F844" s="275"/>
    </row>
    <row r="845" spans="6:6">
      <c r="F845" s="275"/>
    </row>
    <row r="846" spans="6:6">
      <c r="F846" s="275"/>
    </row>
    <row r="847" spans="6:6">
      <c r="F847" s="275"/>
    </row>
    <row r="848" spans="6:6">
      <c r="F848" s="275"/>
    </row>
    <row r="849" spans="6:6">
      <c r="F849" s="275"/>
    </row>
    <row r="850" spans="6:6">
      <c r="F850" s="275"/>
    </row>
    <row r="851" spans="6:6">
      <c r="F851" s="275"/>
    </row>
    <row r="852" spans="6:6">
      <c r="F852" s="275"/>
    </row>
    <row r="853" spans="6:6">
      <c r="F853" s="275"/>
    </row>
    <row r="854" spans="6:6">
      <c r="F854" s="275"/>
    </row>
    <row r="855" spans="6:6">
      <c r="F855" s="275"/>
    </row>
    <row r="856" spans="6:6">
      <c r="F856" s="275"/>
    </row>
    <row r="857" spans="6:6">
      <c r="F857" s="275"/>
    </row>
    <row r="858" spans="6:6">
      <c r="F858" s="275"/>
    </row>
    <row r="859" spans="6:6">
      <c r="F859" s="275"/>
    </row>
    <row r="860" spans="6:6">
      <c r="F860" s="275"/>
    </row>
    <row r="861" spans="6:6">
      <c r="F861" s="275"/>
    </row>
    <row r="862" spans="6:6">
      <c r="F862" s="275"/>
    </row>
    <row r="863" spans="6:6">
      <c r="F863" s="275"/>
    </row>
    <row r="864" spans="6:6">
      <c r="F864" s="275"/>
    </row>
    <row r="865" spans="6:6">
      <c r="F865" s="275"/>
    </row>
    <row r="866" spans="6:6">
      <c r="F866" s="275"/>
    </row>
    <row r="867" spans="6:6">
      <c r="F867" s="275"/>
    </row>
    <row r="868" spans="6:6">
      <c r="F868" s="275"/>
    </row>
    <row r="869" spans="6:6">
      <c r="F869" s="275"/>
    </row>
    <row r="870" spans="6:6">
      <c r="F870" s="275"/>
    </row>
    <row r="871" spans="6:6">
      <c r="F871" s="275"/>
    </row>
    <row r="872" spans="6:6">
      <c r="F872" s="275"/>
    </row>
    <row r="873" spans="6:6">
      <c r="F873" s="275"/>
    </row>
    <row r="874" spans="6:6">
      <c r="F874" s="275"/>
    </row>
    <row r="875" spans="6:6">
      <c r="F875" s="275"/>
    </row>
    <row r="876" spans="6:6">
      <c r="F876" s="275"/>
    </row>
    <row r="877" spans="6:6">
      <c r="F877" s="275"/>
    </row>
    <row r="878" spans="6:6">
      <c r="F878" s="275"/>
    </row>
    <row r="879" spans="6:6">
      <c r="F879" s="275"/>
    </row>
    <row r="880" spans="6:6">
      <c r="F880" s="275"/>
    </row>
    <row r="881" spans="6:6">
      <c r="F881" s="275"/>
    </row>
    <row r="882" spans="6:6">
      <c r="F882" s="275"/>
    </row>
    <row r="883" spans="6:6">
      <c r="F883" s="275"/>
    </row>
    <row r="884" spans="6:6">
      <c r="F884" s="275"/>
    </row>
    <row r="885" spans="6:6">
      <c r="F885" s="275"/>
    </row>
    <row r="886" spans="6:6">
      <c r="F886" s="275"/>
    </row>
    <row r="887" spans="6:6">
      <c r="F887" s="275"/>
    </row>
    <row r="888" spans="6:6">
      <c r="F888" s="275"/>
    </row>
    <row r="889" spans="6:6">
      <c r="F889" s="275"/>
    </row>
    <row r="890" spans="6:6">
      <c r="F890" s="275"/>
    </row>
    <row r="891" spans="6:6">
      <c r="F891" s="275"/>
    </row>
    <row r="892" spans="6:6">
      <c r="F892" s="275"/>
    </row>
    <row r="893" spans="6:6">
      <c r="F893" s="275"/>
    </row>
    <row r="894" spans="6:6">
      <c r="F894" s="275"/>
    </row>
    <row r="895" spans="6:6">
      <c r="F895" s="275"/>
    </row>
    <row r="896" spans="6:6">
      <c r="F896" s="275"/>
    </row>
    <row r="897" spans="6:6">
      <c r="F897" s="275"/>
    </row>
    <row r="898" spans="6:6">
      <c r="F898" s="275"/>
    </row>
    <row r="899" spans="6:6">
      <c r="F899" s="275"/>
    </row>
    <row r="900" spans="6:6">
      <c r="F900" s="275"/>
    </row>
    <row r="901" spans="6:6">
      <c r="F901" s="275"/>
    </row>
    <row r="902" spans="6:6">
      <c r="F902" s="275"/>
    </row>
    <row r="903" spans="6:6">
      <c r="F903" s="275"/>
    </row>
    <row r="904" spans="6:6">
      <c r="F904" s="275"/>
    </row>
    <row r="905" spans="6:6">
      <c r="F905" s="275"/>
    </row>
    <row r="906" spans="6:6">
      <c r="F906" s="275"/>
    </row>
    <row r="907" spans="6:6">
      <c r="F907" s="275"/>
    </row>
    <row r="908" spans="6:6">
      <c r="F908" s="275"/>
    </row>
    <row r="909" spans="6:6">
      <c r="F909" s="275"/>
    </row>
    <row r="910" spans="6:6">
      <c r="F910" s="275"/>
    </row>
    <row r="911" spans="6:6">
      <c r="F911" s="275"/>
    </row>
    <row r="912" spans="6:6">
      <c r="F912" s="275"/>
    </row>
    <row r="913" spans="6:6">
      <c r="F913" s="275"/>
    </row>
    <row r="914" spans="6:6">
      <c r="F914" s="275"/>
    </row>
    <row r="915" spans="6:6">
      <c r="F915" s="275"/>
    </row>
    <row r="916" spans="6:6">
      <c r="F916" s="275"/>
    </row>
    <row r="917" spans="6:6">
      <c r="F917" s="275"/>
    </row>
    <row r="918" spans="6:6">
      <c r="F918" s="275"/>
    </row>
    <row r="919" spans="6:6">
      <c r="F919" s="275"/>
    </row>
    <row r="920" spans="6:6">
      <c r="F920" s="275"/>
    </row>
    <row r="921" spans="6:6">
      <c r="F921" s="275"/>
    </row>
    <row r="922" spans="6:6">
      <c r="F922" s="275"/>
    </row>
    <row r="923" spans="6:6">
      <c r="F923" s="275"/>
    </row>
    <row r="924" spans="6:6">
      <c r="F924" s="275"/>
    </row>
    <row r="925" spans="6:6">
      <c r="F925" s="275"/>
    </row>
    <row r="926" spans="6:6">
      <c r="F926" s="275"/>
    </row>
    <row r="927" spans="6:6">
      <c r="F927" s="275"/>
    </row>
    <row r="928" spans="6:6">
      <c r="F928" s="275"/>
    </row>
    <row r="929" spans="6:6">
      <c r="F929" s="275"/>
    </row>
    <row r="930" spans="6:6">
      <c r="F930" s="275"/>
    </row>
    <row r="931" spans="6:6">
      <c r="F931" s="275"/>
    </row>
    <row r="932" spans="6:6">
      <c r="F932" s="275"/>
    </row>
    <row r="933" spans="6:6">
      <c r="F933" s="275"/>
    </row>
    <row r="934" spans="6:6">
      <c r="F934" s="275"/>
    </row>
    <row r="935" spans="6:6">
      <c r="F935" s="275"/>
    </row>
    <row r="936" spans="6:6">
      <c r="F936" s="275"/>
    </row>
    <row r="937" spans="6:6">
      <c r="F937" s="275"/>
    </row>
    <row r="938" spans="6:6">
      <c r="F938" s="275"/>
    </row>
    <row r="939" spans="6:6">
      <c r="F939" s="275"/>
    </row>
    <row r="940" spans="6:6">
      <c r="F940" s="275"/>
    </row>
    <row r="941" spans="6:6">
      <c r="F941" s="275"/>
    </row>
    <row r="942" spans="6:6">
      <c r="F942" s="275"/>
    </row>
    <row r="943" spans="6:6">
      <c r="F943" s="275"/>
    </row>
    <row r="944" spans="6:6">
      <c r="F944" s="275"/>
    </row>
    <row r="945" spans="6:6">
      <c r="F945" s="275"/>
    </row>
    <row r="946" spans="6:6">
      <c r="F946" s="275"/>
    </row>
    <row r="947" spans="6:6">
      <c r="F947" s="275"/>
    </row>
    <row r="948" spans="6:6">
      <c r="F948" s="275"/>
    </row>
    <row r="949" spans="6:6">
      <c r="F949" s="275"/>
    </row>
    <row r="950" spans="6:6">
      <c r="F950" s="275"/>
    </row>
    <row r="951" spans="6:6">
      <c r="F951" s="275"/>
    </row>
    <row r="952" spans="6:6">
      <c r="F952" s="275"/>
    </row>
    <row r="953" spans="6:6">
      <c r="F953" s="275"/>
    </row>
    <row r="954" spans="6:6">
      <c r="F954" s="275"/>
    </row>
    <row r="955" spans="6:6">
      <c r="F955" s="275"/>
    </row>
    <row r="956" spans="6:6">
      <c r="F956" s="275"/>
    </row>
    <row r="957" spans="6:6">
      <c r="F957" s="275"/>
    </row>
    <row r="958" spans="6:6">
      <c r="F958" s="275"/>
    </row>
    <row r="959" spans="6:6">
      <c r="F959" s="275"/>
    </row>
    <row r="960" spans="6:6">
      <c r="F960" s="275"/>
    </row>
    <row r="961" spans="6:6">
      <c r="F961" s="275"/>
    </row>
    <row r="962" spans="6:6">
      <c r="F962" s="275"/>
    </row>
    <row r="963" spans="6:6">
      <c r="F963" s="275"/>
    </row>
    <row r="964" spans="6:6">
      <c r="F964" s="275"/>
    </row>
    <row r="965" spans="6:6">
      <c r="F965" s="275"/>
    </row>
    <row r="966" spans="6:6">
      <c r="F966" s="275"/>
    </row>
    <row r="967" spans="6:6">
      <c r="F967" s="275"/>
    </row>
    <row r="968" spans="6:6">
      <c r="F968" s="275"/>
    </row>
    <row r="969" spans="6:6">
      <c r="F969" s="275"/>
    </row>
    <row r="970" spans="6:6">
      <c r="F970" s="275"/>
    </row>
    <row r="971" spans="6:6">
      <c r="F971" s="275"/>
    </row>
    <row r="972" spans="6:6">
      <c r="F972" s="275"/>
    </row>
    <row r="973" spans="6:6">
      <c r="F973" s="275"/>
    </row>
    <row r="974" spans="6:6">
      <c r="F974" s="275"/>
    </row>
    <row r="975" spans="6:6">
      <c r="F975" s="275"/>
    </row>
    <row r="976" spans="6:6">
      <c r="F976" s="275"/>
    </row>
    <row r="977" spans="6:6">
      <c r="F977" s="275"/>
    </row>
    <row r="978" spans="6:6">
      <c r="F978" s="275"/>
    </row>
    <row r="979" spans="6:6">
      <c r="F979" s="275"/>
    </row>
    <row r="980" spans="6:6">
      <c r="F980" s="275"/>
    </row>
    <row r="981" spans="6:6">
      <c r="F981" s="275"/>
    </row>
    <row r="982" spans="6:6">
      <c r="F982" s="275"/>
    </row>
    <row r="983" spans="6:6">
      <c r="F983" s="275"/>
    </row>
    <row r="984" spans="6:6">
      <c r="F984" s="275"/>
    </row>
    <row r="985" spans="6:6">
      <c r="F985" s="275"/>
    </row>
    <row r="986" spans="6:6">
      <c r="F986" s="275"/>
    </row>
    <row r="987" spans="6:6">
      <c r="F987" s="275"/>
    </row>
    <row r="988" spans="6:6">
      <c r="F988" s="275"/>
    </row>
    <row r="989" spans="6:6">
      <c r="F989" s="275"/>
    </row>
    <row r="990" spans="6:6">
      <c r="F990" s="275"/>
    </row>
    <row r="991" spans="6:6">
      <c r="F991" s="275"/>
    </row>
    <row r="992" spans="6:6">
      <c r="F992" s="275"/>
    </row>
    <row r="993" spans="6:6">
      <c r="F993" s="275"/>
    </row>
    <row r="994" spans="6:6">
      <c r="F994" s="275"/>
    </row>
    <row r="995" spans="6:6">
      <c r="F995" s="275"/>
    </row>
    <row r="996" spans="6:6">
      <c r="F996" s="275"/>
    </row>
    <row r="997" spans="6:6">
      <c r="F997" s="275"/>
    </row>
    <row r="998" spans="6:6">
      <c r="F998" s="275"/>
    </row>
    <row r="999" spans="6:6">
      <c r="F999" s="275"/>
    </row>
    <row r="1000" spans="6:6">
      <c r="F1000" s="275"/>
    </row>
  </sheetData>
  <mergeCells count="7">
    <mergeCell ref="B6:E6"/>
    <mergeCell ref="B7:E7"/>
    <mergeCell ref="B1:F1"/>
    <mergeCell ref="B3:F3"/>
    <mergeCell ref="B4:F4"/>
    <mergeCell ref="B5:F5"/>
    <mergeCell ref="B2:F2"/>
  </mergeCells>
  <phoneticPr fontId="32" type="noConversion"/>
  <dataValidations count="1">
    <dataValidation type="textLength" allowBlank="1" showInputMessage="1" showErrorMessage="1" errorTitle="Max length" error="You can't enter more than 150 characters." sqref="E1:E1048576" xr:uid="{00000000-0002-0000-0200-000000000000}">
      <formula1>1</formula1>
      <formula2>150</formula2>
    </dataValidation>
  </dataValidation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H53"/>
  <sheetViews>
    <sheetView tabSelected="1" zoomScale="85" zoomScaleNormal="85" workbookViewId="0">
      <selection activeCell="O16" sqref="O16"/>
    </sheetView>
  </sheetViews>
  <sheetFormatPr defaultColWidth="8.7109375" defaultRowHeight="15"/>
  <cols>
    <col min="1" max="1" width="5" style="234" customWidth="1"/>
    <col min="2" max="2" width="18.28515625" style="234" customWidth="1"/>
    <col min="3" max="3" width="15.5703125" style="234" customWidth="1"/>
    <col min="4" max="5" width="12.7109375" style="234" customWidth="1"/>
    <col min="6" max="6" width="16.7109375" style="234" customWidth="1"/>
    <col min="7" max="8" width="12.7109375" style="234" customWidth="1"/>
    <col min="9" max="9" width="16.5703125" style="234" customWidth="1"/>
    <col min="10" max="10" width="10.85546875" style="234" bestFit="1" customWidth="1"/>
    <col min="11" max="11" width="10.140625" style="234" bestFit="1" customWidth="1"/>
    <col min="12" max="12" width="17" style="234" customWidth="1"/>
    <col min="13" max="13" width="15.85546875" style="234" customWidth="1"/>
    <col min="14" max="14" width="10.140625" style="234" bestFit="1" customWidth="1"/>
    <col min="15" max="15" width="16.85546875" customWidth="1"/>
    <col min="16" max="16" width="10.85546875" style="234" bestFit="1" customWidth="1"/>
    <col min="17" max="17" width="10.140625" style="234" bestFit="1" customWidth="1"/>
    <col min="18" max="18" width="19.5703125" style="234" customWidth="1"/>
    <col min="19" max="19" width="10.85546875" style="234" bestFit="1" customWidth="1"/>
    <col min="20" max="20" width="10.140625" style="234" customWidth="1"/>
    <col min="21" max="21" width="19.28515625" style="234" customWidth="1"/>
    <col min="22" max="22" width="10.85546875" style="234" bestFit="1" customWidth="1"/>
    <col min="23" max="23" width="10.140625" style="234" customWidth="1"/>
    <col min="24" max="24" width="18.28515625" style="234" customWidth="1"/>
    <col min="25" max="25" width="10.85546875" style="234" bestFit="1" customWidth="1"/>
    <col min="26" max="26" width="10.140625" style="234" bestFit="1" customWidth="1"/>
    <col min="27" max="27" width="18.7109375" style="234" customWidth="1"/>
    <col min="28" max="28" width="18" style="234" bestFit="1" customWidth="1"/>
    <col min="29" max="29" width="16" style="234" bestFit="1" customWidth="1"/>
    <col min="30" max="30" width="14.28515625" style="234" customWidth="1"/>
    <col min="31" max="31" width="18" style="234" bestFit="1" customWidth="1"/>
    <col min="32" max="32" width="16" style="234" bestFit="1" customWidth="1"/>
    <col min="33" max="33" width="8.7109375" style="234" customWidth="1"/>
    <col min="34" max="34" width="29.85546875" style="234" customWidth="1"/>
    <col min="35" max="35" width="8.7109375" style="234" customWidth="1"/>
    <col min="36" max="16384" width="8.7109375" style="234"/>
  </cols>
  <sheetData>
    <row r="1" spans="1:34" customFormat="1" ht="19.5" customHeight="1" thickBot="1">
      <c r="B1" s="81" t="s">
        <v>133</v>
      </c>
      <c r="C1" s="80"/>
      <c r="D1" s="80"/>
      <c r="E1" s="80"/>
      <c r="F1" s="80"/>
      <c r="G1" s="80"/>
      <c r="H1" s="80"/>
      <c r="I1" s="80"/>
      <c r="J1" s="80"/>
      <c r="K1" s="80"/>
      <c r="L1" s="80"/>
      <c r="M1" s="80"/>
      <c r="N1" s="80"/>
      <c r="O1" s="80"/>
      <c r="P1" s="80"/>
    </row>
    <row r="2" spans="1:34" customFormat="1" ht="15.75" customHeight="1" thickBot="1">
      <c r="B2" s="74" t="s">
        <v>134</v>
      </c>
      <c r="C2" s="79" t="s">
        <v>135</v>
      </c>
      <c r="D2" s="79"/>
      <c r="E2" s="79"/>
      <c r="F2" s="79"/>
      <c r="G2" s="79"/>
      <c r="H2" s="79"/>
      <c r="I2" s="79"/>
      <c r="J2" s="79"/>
      <c r="K2" s="79"/>
      <c r="L2" s="79"/>
      <c r="M2" s="79"/>
      <c r="N2" s="79"/>
      <c r="O2" s="79"/>
      <c r="P2" s="79"/>
    </row>
    <row r="3" spans="1:34" customFormat="1" ht="27.6" customHeight="1" thickBot="1">
      <c r="B3" s="73"/>
      <c r="C3" s="276"/>
      <c r="D3" s="277" t="s">
        <v>136</v>
      </c>
      <c r="E3" s="71" t="s">
        <v>137</v>
      </c>
      <c r="F3" s="70"/>
      <c r="G3" s="69"/>
      <c r="H3" s="71" t="s">
        <v>138</v>
      </c>
      <c r="I3" s="70"/>
      <c r="J3" s="69"/>
      <c r="K3" s="71" t="s">
        <v>139</v>
      </c>
      <c r="L3" s="70"/>
      <c r="M3" s="69"/>
      <c r="N3" s="71" t="s">
        <v>140</v>
      </c>
      <c r="O3" s="70"/>
      <c r="P3" s="69"/>
    </row>
    <row r="4" spans="1:34" customFormat="1" ht="15.75" customHeight="1" thickBot="1">
      <c r="B4" s="73"/>
      <c r="C4" s="278"/>
      <c r="D4" s="279"/>
      <c r="E4" s="280" t="s">
        <v>141</v>
      </c>
      <c r="F4" s="280" t="s">
        <v>142</v>
      </c>
      <c r="G4" s="280" t="s">
        <v>143</v>
      </c>
      <c r="H4" s="280" t="s">
        <v>141</v>
      </c>
      <c r="I4" s="280" t="s">
        <v>142</v>
      </c>
      <c r="J4" s="280" t="s">
        <v>143</v>
      </c>
      <c r="K4" s="280" t="s">
        <v>141</v>
      </c>
      <c r="L4" s="280" t="s">
        <v>142</v>
      </c>
      <c r="M4" s="280" t="s">
        <v>143</v>
      </c>
      <c r="N4" s="280" t="s">
        <v>141</v>
      </c>
      <c r="O4" s="280" t="s">
        <v>142</v>
      </c>
      <c r="P4" s="280" t="s">
        <v>143</v>
      </c>
    </row>
    <row r="5" spans="1:34" customFormat="1" ht="15" customHeight="1">
      <c r="B5" s="73"/>
      <c r="C5" s="281" t="s">
        <v>144</v>
      </c>
      <c r="D5" s="282" t="s">
        <v>145</v>
      </c>
      <c r="E5" s="283">
        <v>0</v>
      </c>
      <c r="F5" s="284">
        <f>SUM(E30:E1000)</f>
        <v>0</v>
      </c>
      <c r="G5" s="284">
        <f>SUMPRODUCT(E30:E1000,F30:F1000)</f>
        <v>0</v>
      </c>
      <c r="H5" s="283">
        <v>0</v>
      </c>
      <c r="I5" s="284">
        <f>SUM(K30:K1000)</f>
        <v>0</v>
      </c>
      <c r="J5" s="284">
        <f>SUMPRODUCT(K30:K1000,L30:L1000)</f>
        <v>0</v>
      </c>
      <c r="K5" s="283">
        <v>0</v>
      </c>
      <c r="L5" s="284">
        <f>SUM(Q30:Q1000)</f>
        <v>0</v>
      </c>
      <c r="M5" s="284">
        <f>SUMPRODUCT(Q30:Q1000,R30:R1000)</f>
        <v>0</v>
      </c>
      <c r="N5" s="283">
        <v>0</v>
      </c>
      <c r="O5" s="284">
        <f>SUM(W30:W1000)</f>
        <v>0</v>
      </c>
      <c r="P5" s="284">
        <f>SUMPRODUCT(W30:W1000,X30:X1000)</f>
        <v>0</v>
      </c>
    </row>
    <row r="6" spans="1:34" customFormat="1" ht="15" customHeight="1">
      <c r="B6" s="73"/>
      <c r="C6" s="285"/>
      <c r="D6" s="282" t="s">
        <v>146</v>
      </c>
      <c r="E6" s="283">
        <v>0</v>
      </c>
      <c r="F6" s="284">
        <f>SUM(H30:H1000)</f>
        <v>0</v>
      </c>
      <c r="G6" s="284">
        <f>SUMPRODUCT(H30:H1000,I30:I1000)</f>
        <v>0</v>
      </c>
      <c r="H6" s="283">
        <v>0</v>
      </c>
      <c r="I6" s="284">
        <f>SUM(N30:N1000)</f>
        <v>0</v>
      </c>
      <c r="J6" s="284">
        <f>SUMPRODUCT(N30:N1000,O30:O1000)</f>
        <v>0</v>
      </c>
      <c r="K6" s="283">
        <v>0</v>
      </c>
      <c r="L6" s="284">
        <f>SUM(T30:T1000)</f>
        <v>0</v>
      </c>
      <c r="M6" s="284">
        <f>SUMPRODUCT(T30:T1000,U30:U1000)</f>
        <v>0</v>
      </c>
      <c r="N6" s="283">
        <v>0</v>
      </c>
      <c r="O6" s="284">
        <f>SUM(Z30:Z1000)</f>
        <v>0</v>
      </c>
      <c r="P6" s="284">
        <f>SUMPRODUCT(Z30:Z1000,AA30:AA1000)</f>
        <v>0</v>
      </c>
    </row>
    <row r="7" spans="1:34">
      <c r="B7" s="73"/>
      <c r="C7" s="286"/>
      <c r="D7" s="287"/>
      <c r="E7" s="287"/>
      <c r="F7" s="287"/>
      <c r="G7" s="287"/>
      <c r="H7" s="287"/>
      <c r="I7" s="287"/>
      <c r="J7" s="287"/>
      <c r="K7" s="287"/>
      <c r="L7" s="287"/>
      <c r="M7" s="287"/>
      <c r="N7" s="287"/>
      <c r="O7" s="287"/>
      <c r="P7" s="288"/>
    </row>
    <row r="8" spans="1:34" customFormat="1" ht="15" customHeight="1">
      <c r="B8" s="73"/>
      <c r="C8" s="289" t="s">
        <v>147</v>
      </c>
      <c r="D8" s="282" t="s">
        <v>145</v>
      </c>
      <c r="E8" s="290">
        <v>0</v>
      </c>
      <c r="F8" s="282">
        <f>SUM('Workforce - Subcontractor'!E6:E1000)</f>
        <v>0</v>
      </c>
      <c r="G8" s="282">
        <f>SUMPRODUCT('Workforce - Subcontractor'!E6:E1000,'Workforce - Subcontractor'!F6:F1000)</f>
        <v>0</v>
      </c>
      <c r="H8" s="290">
        <v>0</v>
      </c>
      <c r="I8" s="282">
        <f>SUM('Workforce - Subcontractor'!K6:K1000)</f>
        <v>0</v>
      </c>
      <c r="J8" s="282">
        <f>SUMPRODUCT('Workforce - Subcontractor'!K6:K1000,'Workforce - Subcontractor'!L6:L1000)</f>
        <v>0</v>
      </c>
      <c r="K8" s="290">
        <v>0</v>
      </c>
      <c r="L8" s="282">
        <f>SUM('Workforce - Subcontractor'!Q6:Q1000)</f>
        <v>0</v>
      </c>
      <c r="M8" s="282">
        <f>SUMPRODUCT('Workforce - Subcontractor'!Q6:Q1000,'Workforce - Subcontractor'!R6:R1000)</f>
        <v>0</v>
      </c>
      <c r="N8" s="290">
        <v>0</v>
      </c>
      <c r="O8" s="282">
        <f>SUM('Workforce - Subcontractor'!W6:W1000)</f>
        <v>0</v>
      </c>
      <c r="P8" s="282">
        <f>SUMPRODUCT('Workforce - Subcontractor'!W6:W1000,'Workforce - Subcontractor'!X6:X1000)</f>
        <v>0</v>
      </c>
    </row>
    <row r="9" spans="1:34" customFormat="1" ht="15" customHeight="1">
      <c r="B9" s="73"/>
      <c r="C9" s="291"/>
      <c r="D9" s="282" t="s">
        <v>146</v>
      </c>
      <c r="E9" s="290">
        <v>0</v>
      </c>
      <c r="F9" s="282">
        <f>SUM('Workforce - Subcontractor'!H6:H1000)</f>
        <v>0</v>
      </c>
      <c r="G9" s="282">
        <f>SUMPRODUCT('Workforce - Subcontractor'!H6:H1000,'Workforce - Subcontractor'!I6:I1000)</f>
        <v>0</v>
      </c>
      <c r="H9" s="290">
        <v>0</v>
      </c>
      <c r="I9" s="282">
        <f>SUM('Workforce - Subcontractor'!N6:N1000)</f>
        <v>0</v>
      </c>
      <c r="J9" s="282">
        <f>SUMPRODUCT('Workforce - Subcontractor'!N6:N1000,'Workforce - Subcontractor'!O6:O1000)</f>
        <v>0</v>
      </c>
      <c r="K9" s="290">
        <v>0</v>
      </c>
      <c r="L9" s="282">
        <f>SUM('Workforce - Subcontractor'!T6:T1000)</f>
        <v>0</v>
      </c>
      <c r="M9" s="282">
        <f>SUMPRODUCT('Workforce - Subcontractor'!T6:T1000,'Workforce - Subcontractor'!U6:U1000)</f>
        <v>0</v>
      </c>
      <c r="N9" s="290">
        <v>0</v>
      </c>
      <c r="O9" s="282">
        <f>SUM('Workforce - Subcontractor'!Z6:Z1000)</f>
        <v>0</v>
      </c>
      <c r="P9" s="282">
        <f>SUMPRODUCT('Workforce - Subcontractor'!Z6:Z1000,'Workforce - Subcontractor'!AA6:AA1000)</f>
        <v>0</v>
      </c>
    </row>
    <row r="10" spans="1:34">
      <c r="B10" s="73"/>
      <c r="C10" s="292"/>
      <c r="D10" s="292"/>
      <c r="E10" s="292"/>
      <c r="F10" s="292"/>
      <c r="G10" s="292"/>
      <c r="H10" s="292"/>
      <c r="I10" s="292"/>
      <c r="J10" s="292"/>
      <c r="K10" s="292"/>
      <c r="L10" s="292"/>
      <c r="M10" s="292"/>
      <c r="N10" s="292"/>
      <c r="O10" s="292"/>
      <c r="P10" s="293"/>
    </row>
    <row r="11" spans="1:34" customFormat="1" ht="15" customHeight="1">
      <c r="B11" s="73"/>
      <c r="C11" s="281" t="s">
        <v>148</v>
      </c>
      <c r="D11" s="294" t="s">
        <v>145</v>
      </c>
      <c r="E11" s="295">
        <f>E5+E8</f>
        <v>0</v>
      </c>
      <c r="F11" s="296">
        <f>F5+F8</f>
        <v>0</v>
      </c>
      <c r="G11" s="297">
        <f>SUM(G5+G8)</f>
        <v>0</v>
      </c>
      <c r="H11" s="295">
        <f>H5+H8</f>
        <v>0</v>
      </c>
      <c r="I11" s="296">
        <f>I5+I8</f>
        <v>0</v>
      </c>
      <c r="J11" s="297">
        <f>SUM(J5+J8)</f>
        <v>0</v>
      </c>
      <c r="K11" s="295">
        <f>K5+K8</f>
        <v>0</v>
      </c>
      <c r="L11" s="296">
        <f>L5+L8</f>
        <v>0</v>
      </c>
      <c r="M11" s="297">
        <f>SUM(M5+M8)</f>
        <v>0</v>
      </c>
      <c r="N11" s="295">
        <f>N5+N8</f>
        <v>0</v>
      </c>
      <c r="O11" s="296">
        <f>O5+O8</f>
        <v>0</v>
      </c>
      <c r="P11" s="297">
        <f>SUM(P5+P8)</f>
        <v>0</v>
      </c>
    </row>
    <row r="12" spans="1:34" customFormat="1" ht="15" customHeight="1">
      <c r="B12" s="73"/>
      <c r="C12" s="298"/>
      <c r="D12" s="294" t="s">
        <v>146</v>
      </c>
      <c r="E12" s="295">
        <f>E6+E9</f>
        <v>0</v>
      </c>
      <c r="F12" s="296">
        <f>F6+F9</f>
        <v>0</v>
      </c>
      <c r="G12" s="297">
        <f>SUM(G6+G9)</f>
        <v>0</v>
      </c>
      <c r="H12" s="295">
        <f>H6+H9</f>
        <v>0</v>
      </c>
      <c r="I12" s="296">
        <f>I6+I9</f>
        <v>0</v>
      </c>
      <c r="J12" s="297">
        <f>SUM(J6+J9)</f>
        <v>0</v>
      </c>
      <c r="K12" s="295">
        <f>K6+K9</f>
        <v>0</v>
      </c>
      <c r="L12" s="296">
        <f>L6+L9</f>
        <v>0</v>
      </c>
      <c r="M12" s="297">
        <f>SUM(M6+M9)</f>
        <v>0</v>
      </c>
      <c r="N12" s="295">
        <f>N6+N9</f>
        <v>0</v>
      </c>
      <c r="O12" s="296">
        <f>O6+O9</f>
        <v>0</v>
      </c>
      <c r="P12" s="297">
        <f>SUM(P6+P9)</f>
        <v>0</v>
      </c>
    </row>
    <row r="13" spans="1:34" customFormat="1" ht="15.75" customHeight="1" thickBot="1">
      <c r="B13" s="72"/>
      <c r="C13" s="299"/>
      <c r="D13" s="300" t="s">
        <v>149</v>
      </c>
      <c r="E13" s="301">
        <f t="shared" ref="E13:P13" si="0">IFERROR(E11/(E11+E12),0*100)</f>
        <v>0</v>
      </c>
      <c r="F13" s="302">
        <f t="shared" si="0"/>
        <v>0</v>
      </c>
      <c r="G13" s="303">
        <f t="shared" si="0"/>
        <v>0</v>
      </c>
      <c r="H13" s="301">
        <f t="shared" si="0"/>
        <v>0</v>
      </c>
      <c r="I13" s="302">
        <f t="shared" si="0"/>
        <v>0</v>
      </c>
      <c r="J13" s="303">
        <f t="shared" si="0"/>
        <v>0</v>
      </c>
      <c r="K13" s="301">
        <f t="shared" si="0"/>
        <v>0</v>
      </c>
      <c r="L13" s="302">
        <f t="shared" si="0"/>
        <v>0</v>
      </c>
      <c r="M13" s="303">
        <f t="shared" si="0"/>
        <v>0</v>
      </c>
      <c r="N13" s="301">
        <f t="shared" si="0"/>
        <v>0</v>
      </c>
      <c r="O13" s="302">
        <f t="shared" si="0"/>
        <v>0</v>
      </c>
      <c r="P13" s="303">
        <f t="shared" si="0"/>
        <v>0</v>
      </c>
    </row>
    <row r="14" spans="1:34">
      <c r="B14" s="237"/>
      <c r="H14" s="238"/>
      <c r="I14" s="238"/>
    </row>
    <row r="15" spans="1:34" s="239" customFormat="1" ht="15.75" customHeight="1" thickBot="1">
      <c r="B15" s="237"/>
      <c r="C15" s="234"/>
      <c r="D15" s="234"/>
      <c r="E15" s="234"/>
      <c r="F15" s="234"/>
      <c r="G15" s="234"/>
      <c r="H15" s="234"/>
      <c r="I15" s="234"/>
      <c r="J15" s="234"/>
      <c r="K15" s="234"/>
      <c r="L15" s="234"/>
      <c r="M15" s="234"/>
      <c r="N15" s="234"/>
      <c r="O15" s="234"/>
      <c r="P15" s="234"/>
      <c r="Q15" s="234"/>
      <c r="R15" s="234"/>
      <c r="S15" s="234"/>
      <c r="T15" s="234"/>
      <c r="U15" s="234"/>
      <c r="V15" s="234"/>
      <c r="W15" s="234"/>
      <c r="X15" s="234"/>
    </row>
    <row r="16" spans="1:34" s="239" customFormat="1" ht="30.75" customHeight="1" thickBot="1">
      <c r="A16"/>
      <c r="B16" s="92" t="s">
        <v>150</v>
      </c>
      <c r="C16" s="78" t="s">
        <v>151</v>
      </c>
      <c r="D16" s="78"/>
      <c r="E16" s="78"/>
      <c r="F16" s="251"/>
      <c r="G16" s="77" t="s">
        <v>152</v>
      </c>
      <c r="H16" s="76"/>
      <c r="I16" s="76"/>
      <c r="J16" s="75"/>
      <c r="K16"/>
      <c r="L16" s="304" t="s">
        <v>153</v>
      </c>
      <c r="M16" s="305" t="s">
        <v>154</v>
      </c>
      <c r="N16"/>
      <c r="O16"/>
      <c r="P16"/>
      <c r="Q16"/>
      <c r="R16"/>
      <c r="S16" s="238"/>
      <c r="T16"/>
      <c r="U16"/>
      <c r="V16"/>
      <c r="W16"/>
      <c r="X16"/>
      <c r="Y16"/>
      <c r="Z16"/>
      <c r="AA16"/>
      <c r="AB16"/>
      <c r="AC16"/>
      <c r="AD16"/>
      <c r="AE16"/>
      <c r="AF16"/>
      <c r="AG16"/>
      <c r="AH16"/>
    </row>
    <row r="17" spans="2:31" s="239" customFormat="1" ht="21" customHeight="1" thickBot="1">
      <c r="B17" s="91"/>
      <c r="C17" s="68" t="s">
        <v>155</v>
      </c>
      <c r="D17" s="67"/>
      <c r="E17" s="306" t="s">
        <v>156</v>
      </c>
      <c r="F17" s="251"/>
      <c r="G17" s="307"/>
      <c r="H17" s="308" t="s">
        <v>141</v>
      </c>
      <c r="I17" s="308" t="s">
        <v>142</v>
      </c>
      <c r="J17" s="309" t="s">
        <v>143</v>
      </c>
      <c r="K17"/>
      <c r="L17" s="310">
        <v>0</v>
      </c>
      <c r="M17" s="310">
        <v>0</v>
      </c>
      <c r="N17"/>
      <c r="S17" s="244"/>
    </row>
    <row r="18" spans="2:31" s="239" customFormat="1" ht="15.75" customHeight="1" thickBot="1">
      <c r="B18" s="91"/>
      <c r="C18" s="311" t="s">
        <v>157</v>
      </c>
      <c r="D18" s="312" t="s">
        <v>158</v>
      </c>
      <c r="E18" s="313"/>
      <c r="F18" s="251"/>
      <c r="G18" s="314" t="s">
        <v>145</v>
      </c>
      <c r="H18" s="315">
        <f t="shared" ref="H18:J19" si="1">E11+H11+K11+N11</f>
        <v>0</v>
      </c>
      <c r="I18" s="315">
        <f t="shared" si="1"/>
        <v>0</v>
      </c>
      <c r="J18" s="309">
        <f t="shared" si="1"/>
        <v>0</v>
      </c>
      <c r="K18"/>
      <c r="L18"/>
      <c r="M18"/>
      <c r="N18"/>
      <c r="S18" s="245"/>
      <c r="T18" s="244"/>
      <c r="U18" s="238"/>
    </row>
    <row r="19" spans="2:31" s="239" customFormat="1" ht="15.75" customHeight="1" thickBot="1">
      <c r="B19" s="90"/>
      <c r="C19" s="316">
        <v>0</v>
      </c>
      <c r="D19" s="317">
        <v>0</v>
      </c>
      <c r="E19" s="318">
        <f>IFERROR(C19/(C19+D19),0*100)</f>
        <v>0</v>
      </c>
      <c r="F19" s="251"/>
      <c r="G19" s="314" t="s">
        <v>146</v>
      </c>
      <c r="H19" s="315">
        <f t="shared" si="1"/>
        <v>0</v>
      </c>
      <c r="I19" s="315">
        <f t="shared" si="1"/>
        <v>0</v>
      </c>
      <c r="J19" s="309">
        <f t="shared" si="1"/>
        <v>0</v>
      </c>
      <c r="K19"/>
      <c r="L19"/>
      <c r="M19"/>
      <c r="N19"/>
      <c r="S19" s="245"/>
      <c r="T19" s="244"/>
      <c r="U19" s="238"/>
    </row>
    <row r="20" spans="2:31" customFormat="1" ht="15.75" customHeight="1" thickBot="1">
      <c r="B20" s="246"/>
      <c r="G20" s="319" t="s">
        <v>159</v>
      </c>
      <c r="H20" s="320">
        <f>IFERROR(H18/(H18+H19),0*100)</f>
        <v>0</v>
      </c>
      <c r="I20" s="320">
        <f>IFERROR(I18/(I18+I19),0*100)</f>
        <v>0</v>
      </c>
      <c r="J20" s="321">
        <f>IFERROR(J18/(J18+J19),0*100)</f>
        <v>0</v>
      </c>
      <c r="S20" s="247"/>
      <c r="T20" s="244"/>
      <c r="U20" s="248"/>
      <c r="V20" s="248"/>
    </row>
    <row r="21" spans="2:31">
      <c r="B21" s="243" t="s">
        <v>160</v>
      </c>
      <c r="C21" s="249"/>
      <c r="D21" s="249"/>
      <c r="E21" s="249"/>
      <c r="F21" s="249"/>
      <c r="G21" s="249"/>
      <c r="H21" s="249"/>
      <c r="I21" s="249"/>
      <c r="J21" s="249"/>
      <c r="K21" s="249"/>
      <c r="L21" s="249"/>
      <c r="M21" s="249"/>
      <c r="N21" s="249"/>
      <c r="O21" s="249"/>
      <c r="P21" s="249"/>
      <c r="Q21" s="249"/>
      <c r="R21" s="249"/>
      <c r="S21" s="249"/>
      <c r="T21" s="249"/>
      <c r="U21" s="249"/>
      <c r="V21" s="249"/>
      <c r="W21" s="242"/>
      <c r="X21" s="242"/>
      <c r="Y21" s="242"/>
      <c r="Z21" s="242"/>
      <c r="AA21" s="242"/>
      <c r="AB21" s="242"/>
      <c r="AC21" s="242"/>
      <c r="AD21" s="242"/>
      <c r="AE21" s="242"/>
    </row>
    <row r="22" spans="2:31" customFormat="1" ht="15" customHeight="1">
      <c r="B22" s="98" t="s">
        <v>161</v>
      </c>
      <c r="C22" s="97"/>
      <c r="D22" s="97"/>
      <c r="E22" s="97"/>
      <c r="F22" s="97"/>
      <c r="G22" s="97"/>
      <c r="H22" s="97"/>
      <c r="I22" s="97"/>
      <c r="J22" s="97"/>
      <c r="K22" s="97"/>
      <c r="L22" s="97"/>
      <c r="M22" s="97"/>
      <c r="N22" s="97"/>
      <c r="O22" s="97"/>
      <c r="P22" s="97"/>
      <c r="Q22" s="97"/>
      <c r="R22" s="97"/>
      <c r="S22" s="97"/>
      <c r="T22" s="97"/>
      <c r="U22" s="97"/>
      <c r="V22" s="97"/>
      <c r="W22" s="97"/>
      <c r="X22" s="97"/>
      <c r="Y22" s="97"/>
      <c r="Z22" s="97"/>
      <c r="AA22" s="97"/>
      <c r="AB22" s="97"/>
      <c r="AC22" s="97"/>
      <c r="AD22" s="97"/>
      <c r="AE22" s="97"/>
    </row>
    <row r="23" spans="2:31" customFormat="1" ht="15.75" customHeight="1" thickBot="1">
      <c r="B23" s="96" t="s">
        <v>124</v>
      </c>
      <c r="C23" s="95"/>
      <c r="D23" s="95"/>
      <c r="E23" s="95"/>
      <c r="F23" s="95"/>
      <c r="G23" s="95"/>
      <c r="H23" s="95"/>
      <c r="I23" s="95"/>
      <c r="J23" s="95"/>
      <c r="K23" s="95"/>
      <c r="L23" s="95"/>
      <c r="M23" s="95"/>
      <c r="N23" s="95"/>
      <c r="O23" s="95"/>
      <c r="P23" s="95"/>
      <c r="Q23" s="95"/>
      <c r="R23" s="95"/>
      <c r="S23" s="95"/>
      <c r="T23" s="95"/>
      <c r="U23" s="95"/>
      <c r="V23" s="95"/>
      <c r="W23" s="95"/>
      <c r="X23" s="95"/>
      <c r="Y23" s="95"/>
      <c r="Z23" s="95"/>
      <c r="AA23" s="95"/>
      <c r="AB23" s="95"/>
      <c r="AC23" s="95"/>
      <c r="AD23" s="95"/>
      <c r="AE23" s="95"/>
    </row>
    <row r="24" spans="2:31" customFormat="1" ht="24" customHeight="1" thickBot="1">
      <c r="B24" s="94" t="s">
        <v>162</v>
      </c>
      <c r="C24" s="93"/>
      <c r="D24" s="93"/>
      <c r="E24" s="93"/>
      <c r="F24" s="93"/>
      <c r="G24" s="93"/>
      <c r="H24" s="93"/>
      <c r="I24" s="93"/>
      <c r="J24" s="93"/>
      <c r="K24" s="93"/>
      <c r="L24" s="93"/>
      <c r="M24" s="93"/>
      <c r="N24" s="93"/>
      <c r="O24" s="93"/>
      <c r="P24" s="93"/>
      <c r="Q24" s="93"/>
      <c r="R24" s="93"/>
      <c r="S24" s="93"/>
      <c r="T24" s="93"/>
      <c r="U24" s="93"/>
      <c r="V24" s="93"/>
      <c r="W24" s="93"/>
      <c r="X24" s="93"/>
      <c r="Y24" s="93"/>
      <c r="Z24" s="93"/>
      <c r="AA24" s="93"/>
      <c r="AB24" s="93"/>
      <c r="AC24" s="93"/>
      <c r="AD24" s="93"/>
      <c r="AE24" s="93"/>
    </row>
    <row r="25" spans="2:31" customFormat="1" ht="15.75" customHeight="1">
      <c r="B25" s="100" t="s">
        <v>163</v>
      </c>
      <c r="C25" s="99"/>
      <c r="D25" s="99"/>
      <c r="E25" s="99"/>
      <c r="F25" s="99"/>
      <c r="G25" s="99"/>
      <c r="H25" s="99"/>
      <c r="I25" s="99"/>
      <c r="J25" s="99"/>
      <c r="K25" s="99"/>
      <c r="L25" s="99"/>
      <c r="M25" s="99"/>
      <c r="N25" s="99"/>
      <c r="O25" s="99"/>
      <c r="P25" s="99"/>
      <c r="Q25" s="99"/>
      <c r="R25" s="99"/>
      <c r="S25" s="99"/>
      <c r="T25" s="99"/>
      <c r="U25" s="99"/>
      <c r="V25" s="99"/>
      <c r="W25" s="99"/>
      <c r="X25" s="99"/>
      <c r="Y25" s="99"/>
      <c r="Z25" s="99"/>
      <c r="AA25" s="99"/>
      <c r="AB25" s="99"/>
      <c r="AC25" s="99"/>
      <c r="AD25" s="99"/>
      <c r="AE25" s="99"/>
    </row>
    <row r="26" spans="2:31" customFormat="1" ht="16.5" customHeight="1" thickBot="1">
      <c r="B26" s="89" t="s">
        <v>164</v>
      </c>
      <c r="C26" s="88"/>
      <c r="D26" s="88"/>
      <c r="E26" s="88"/>
      <c r="F26" s="88"/>
      <c r="G26" s="88"/>
      <c r="H26" s="88"/>
      <c r="I26" s="88"/>
      <c r="J26" s="88"/>
      <c r="K26" s="88"/>
      <c r="L26" s="88"/>
      <c r="M26" s="88"/>
      <c r="N26" s="88"/>
      <c r="O26" s="88"/>
      <c r="P26" s="88"/>
      <c r="Q26" s="88"/>
      <c r="R26" s="88"/>
      <c r="S26" s="88"/>
      <c r="T26" s="88"/>
      <c r="U26" s="88"/>
      <c r="V26" s="88"/>
      <c r="W26" s="88"/>
      <c r="X26" s="88"/>
      <c r="Y26" s="88"/>
      <c r="Z26" s="88"/>
      <c r="AA26" s="88"/>
      <c r="AB26" s="88"/>
      <c r="AC26" s="88"/>
      <c r="AD26" s="88"/>
      <c r="AE26" s="88"/>
    </row>
    <row r="27" spans="2:31" customFormat="1" ht="30.75" customHeight="1" thickBot="1">
      <c r="B27" s="66" t="s">
        <v>165</v>
      </c>
      <c r="C27" s="66" t="s">
        <v>166</v>
      </c>
      <c r="D27" s="87" t="s">
        <v>137</v>
      </c>
      <c r="E27" s="86"/>
      <c r="F27" s="86"/>
      <c r="G27" s="86"/>
      <c r="H27" s="86"/>
      <c r="I27" s="85"/>
      <c r="J27" s="87" t="s">
        <v>138</v>
      </c>
      <c r="K27" s="86"/>
      <c r="L27" s="86"/>
      <c r="M27" s="86"/>
      <c r="N27" s="86"/>
      <c r="O27" s="85"/>
      <c r="P27" s="87" t="s">
        <v>139</v>
      </c>
      <c r="Q27" s="86"/>
      <c r="R27" s="86"/>
      <c r="S27" s="86"/>
      <c r="T27" s="86"/>
      <c r="U27" s="85"/>
      <c r="V27" s="87" t="s">
        <v>167</v>
      </c>
      <c r="W27" s="86"/>
      <c r="X27" s="86"/>
      <c r="Y27" s="86"/>
      <c r="Z27" s="86"/>
      <c r="AA27" s="85"/>
      <c r="AB27" s="63" t="s">
        <v>168</v>
      </c>
      <c r="AC27" s="62"/>
      <c r="AD27" s="322" t="s">
        <v>156</v>
      </c>
      <c r="AE27" s="322" t="s">
        <v>169</v>
      </c>
    </row>
    <row r="28" spans="2:31" customFormat="1" ht="19.5" customHeight="1" thickBot="1">
      <c r="B28" s="65"/>
      <c r="C28" s="65"/>
      <c r="D28" s="87" t="s">
        <v>157</v>
      </c>
      <c r="E28" s="86"/>
      <c r="F28" s="85"/>
      <c r="G28" s="84" t="s">
        <v>158</v>
      </c>
      <c r="H28" s="83"/>
      <c r="I28" s="82"/>
      <c r="J28" s="84" t="s">
        <v>157</v>
      </c>
      <c r="K28" s="83"/>
      <c r="L28" s="82"/>
      <c r="M28" s="84" t="s">
        <v>158</v>
      </c>
      <c r="N28" s="83"/>
      <c r="O28" s="82"/>
      <c r="P28" s="84" t="s">
        <v>157</v>
      </c>
      <c r="Q28" s="83"/>
      <c r="R28" s="82"/>
      <c r="S28" s="84" t="s">
        <v>158</v>
      </c>
      <c r="T28" s="83"/>
      <c r="U28" s="82"/>
      <c r="V28" s="84" t="s">
        <v>157</v>
      </c>
      <c r="W28" s="83"/>
      <c r="X28" s="82"/>
      <c r="Y28" s="84" t="s">
        <v>158</v>
      </c>
      <c r="Z28" s="83"/>
      <c r="AA28" s="82"/>
      <c r="AB28" s="323"/>
      <c r="AC28" s="323"/>
      <c r="AD28" s="322"/>
      <c r="AE28" s="322"/>
    </row>
    <row r="29" spans="2:31" customFormat="1" ht="30.75" customHeight="1" thickBot="1">
      <c r="B29" s="64"/>
      <c r="C29" s="64"/>
      <c r="D29" s="280" t="s">
        <v>170</v>
      </c>
      <c r="E29" s="280" t="s">
        <v>171</v>
      </c>
      <c r="F29" s="324" t="s">
        <v>172</v>
      </c>
      <c r="G29" s="280" t="s">
        <v>170</v>
      </c>
      <c r="H29" s="280" t="s">
        <v>171</v>
      </c>
      <c r="I29" s="324" t="s">
        <v>172</v>
      </c>
      <c r="J29" s="280" t="s">
        <v>170</v>
      </c>
      <c r="K29" s="280" t="s">
        <v>171</v>
      </c>
      <c r="L29" s="324" t="s">
        <v>172</v>
      </c>
      <c r="M29" s="280" t="s">
        <v>170</v>
      </c>
      <c r="N29" s="280" t="s">
        <v>171</v>
      </c>
      <c r="O29" s="324" t="s">
        <v>172</v>
      </c>
      <c r="P29" s="280" t="s">
        <v>170</v>
      </c>
      <c r="Q29" s="280" t="s">
        <v>171</v>
      </c>
      <c r="R29" s="324" t="s">
        <v>172</v>
      </c>
      <c r="S29" s="280" t="s">
        <v>170</v>
      </c>
      <c r="T29" s="280" t="s">
        <v>171</v>
      </c>
      <c r="U29" s="324" t="s">
        <v>172</v>
      </c>
      <c r="V29" s="280" t="s">
        <v>170</v>
      </c>
      <c r="W29" s="280" t="s">
        <v>171</v>
      </c>
      <c r="X29" s="324" t="s">
        <v>172</v>
      </c>
      <c r="Y29" s="280" t="s">
        <v>170</v>
      </c>
      <c r="Z29" s="280" t="s">
        <v>171</v>
      </c>
      <c r="AA29" s="324" t="s">
        <v>172</v>
      </c>
      <c r="AB29" s="280" t="s">
        <v>157</v>
      </c>
      <c r="AC29" s="280" t="s">
        <v>158</v>
      </c>
      <c r="AD29" s="325"/>
      <c r="AE29" s="280" t="s">
        <v>157</v>
      </c>
    </row>
    <row r="30" spans="2:31">
      <c r="B30" s="326" t="s">
        <v>173</v>
      </c>
      <c r="C30" s="326" t="s">
        <v>174</v>
      </c>
      <c r="D30" s="327">
        <v>0</v>
      </c>
      <c r="E30" s="327">
        <v>0</v>
      </c>
      <c r="F30" s="327">
        <v>0</v>
      </c>
      <c r="G30" s="327">
        <v>0</v>
      </c>
      <c r="H30" s="327">
        <v>0</v>
      </c>
      <c r="I30" s="327">
        <v>0</v>
      </c>
      <c r="J30" s="327">
        <v>0</v>
      </c>
      <c r="K30" s="327">
        <v>0</v>
      </c>
      <c r="L30" s="327">
        <v>0</v>
      </c>
      <c r="M30" s="327">
        <v>0</v>
      </c>
      <c r="N30" s="327">
        <v>0</v>
      </c>
      <c r="O30" s="327">
        <v>0</v>
      </c>
      <c r="P30" s="327">
        <v>0</v>
      </c>
      <c r="Q30" s="327">
        <v>0</v>
      </c>
      <c r="R30" s="327">
        <v>0</v>
      </c>
      <c r="S30" s="327">
        <v>0</v>
      </c>
      <c r="T30" s="327">
        <v>0</v>
      </c>
      <c r="U30" s="327">
        <v>0</v>
      </c>
      <c r="V30" s="327">
        <v>0</v>
      </c>
      <c r="W30" s="327">
        <v>0</v>
      </c>
      <c r="X30" s="327">
        <v>0</v>
      </c>
      <c r="Y30" s="327">
        <v>0</v>
      </c>
      <c r="Z30" s="327">
        <v>0</v>
      </c>
      <c r="AA30" s="327">
        <v>0</v>
      </c>
      <c r="AB30" s="328">
        <f t="shared" ref="AB30:AB53" si="2">D30+J30+P30+V30</f>
        <v>0</v>
      </c>
      <c r="AC30" s="328">
        <f t="shared" ref="AC30:AC53" si="3">G30+M30+S30+Y30</f>
        <v>0</v>
      </c>
      <c r="AD30" s="329">
        <f t="shared" ref="AD30:AD53" si="4">IFERROR(AB30/SUM(AB30:AC30),0)*100</f>
        <v>0</v>
      </c>
      <c r="AE30" s="103">
        <f>SUM(D30:D33)+SUM(J30:J33)+SUM(P30:P33) +SUM(V30:V33)</f>
        <v>0</v>
      </c>
    </row>
    <row r="31" spans="2:31">
      <c r="B31" s="326" t="s">
        <v>173</v>
      </c>
      <c r="C31" s="326" t="s">
        <v>175</v>
      </c>
      <c r="D31" s="327">
        <v>0</v>
      </c>
      <c r="E31" s="327">
        <v>0</v>
      </c>
      <c r="F31" s="327">
        <v>0</v>
      </c>
      <c r="G31" s="327">
        <v>0</v>
      </c>
      <c r="H31" s="327">
        <v>0</v>
      </c>
      <c r="I31" s="327">
        <v>0</v>
      </c>
      <c r="J31" s="327">
        <v>0</v>
      </c>
      <c r="K31" s="327">
        <v>0</v>
      </c>
      <c r="L31" s="327">
        <v>0</v>
      </c>
      <c r="M31" s="327">
        <v>0</v>
      </c>
      <c r="N31" s="327">
        <v>0</v>
      </c>
      <c r="O31" s="327">
        <v>0</v>
      </c>
      <c r="P31" s="327">
        <v>0</v>
      </c>
      <c r="Q31" s="327">
        <v>0</v>
      </c>
      <c r="R31" s="327">
        <v>0</v>
      </c>
      <c r="S31" s="327">
        <v>0</v>
      </c>
      <c r="T31" s="327">
        <v>0</v>
      </c>
      <c r="U31" s="327">
        <v>0</v>
      </c>
      <c r="V31" s="327">
        <v>0</v>
      </c>
      <c r="W31" s="327">
        <v>0</v>
      </c>
      <c r="X31" s="327">
        <v>0</v>
      </c>
      <c r="Y31" s="327">
        <v>0</v>
      </c>
      <c r="Z31" s="327">
        <v>0</v>
      </c>
      <c r="AA31" s="327">
        <v>0</v>
      </c>
      <c r="AB31" s="328">
        <f t="shared" si="2"/>
        <v>0</v>
      </c>
      <c r="AC31" s="328">
        <f t="shared" si="3"/>
        <v>0</v>
      </c>
      <c r="AD31" s="329">
        <f t="shared" si="4"/>
        <v>0</v>
      </c>
      <c r="AE31" s="102"/>
    </row>
    <row r="32" spans="2:31">
      <c r="B32" s="326" t="s">
        <v>173</v>
      </c>
      <c r="C32" s="326" t="s">
        <v>176</v>
      </c>
      <c r="D32" s="327">
        <v>0</v>
      </c>
      <c r="E32" s="327">
        <v>0</v>
      </c>
      <c r="F32" s="327">
        <v>0</v>
      </c>
      <c r="G32" s="327">
        <v>0</v>
      </c>
      <c r="H32" s="327">
        <v>0</v>
      </c>
      <c r="I32" s="327">
        <v>0</v>
      </c>
      <c r="J32" s="327">
        <v>0</v>
      </c>
      <c r="K32" s="327">
        <v>0</v>
      </c>
      <c r="L32" s="327">
        <v>0</v>
      </c>
      <c r="M32" s="327">
        <v>0</v>
      </c>
      <c r="N32" s="327">
        <v>0</v>
      </c>
      <c r="O32" s="327">
        <v>0</v>
      </c>
      <c r="P32" s="327">
        <v>0</v>
      </c>
      <c r="Q32" s="327">
        <v>0</v>
      </c>
      <c r="R32" s="327">
        <v>0</v>
      </c>
      <c r="S32" s="327">
        <v>0</v>
      </c>
      <c r="T32" s="327">
        <v>0</v>
      </c>
      <c r="U32" s="327">
        <v>0</v>
      </c>
      <c r="V32" s="327">
        <v>0</v>
      </c>
      <c r="W32" s="327">
        <v>0</v>
      </c>
      <c r="X32" s="327">
        <v>0</v>
      </c>
      <c r="Y32" s="327">
        <v>0</v>
      </c>
      <c r="Z32" s="327">
        <v>0</v>
      </c>
      <c r="AA32" s="327">
        <v>0</v>
      </c>
      <c r="AB32" s="328">
        <f t="shared" si="2"/>
        <v>0</v>
      </c>
      <c r="AC32" s="328">
        <f t="shared" si="3"/>
        <v>0</v>
      </c>
      <c r="AD32" s="329">
        <f t="shared" si="4"/>
        <v>0</v>
      </c>
      <c r="AE32" s="102"/>
    </row>
    <row r="33" spans="2:31">
      <c r="B33" s="326" t="s">
        <v>173</v>
      </c>
      <c r="C33" s="326" t="s">
        <v>177</v>
      </c>
      <c r="D33" s="327">
        <v>0</v>
      </c>
      <c r="E33" s="327">
        <v>0</v>
      </c>
      <c r="F33" s="327">
        <v>0</v>
      </c>
      <c r="G33" s="327">
        <v>0</v>
      </c>
      <c r="H33" s="327">
        <v>0</v>
      </c>
      <c r="I33" s="327">
        <v>0</v>
      </c>
      <c r="J33" s="327">
        <v>0</v>
      </c>
      <c r="K33" s="327">
        <v>0</v>
      </c>
      <c r="L33" s="327">
        <v>0</v>
      </c>
      <c r="M33" s="327">
        <v>0</v>
      </c>
      <c r="N33" s="327">
        <v>0</v>
      </c>
      <c r="O33" s="327">
        <v>0</v>
      </c>
      <c r="P33" s="327">
        <v>0</v>
      </c>
      <c r="Q33" s="327">
        <v>0</v>
      </c>
      <c r="R33" s="327">
        <v>0</v>
      </c>
      <c r="S33" s="327">
        <v>0</v>
      </c>
      <c r="T33" s="327">
        <v>0</v>
      </c>
      <c r="U33" s="327">
        <v>0</v>
      </c>
      <c r="V33" s="327">
        <v>0</v>
      </c>
      <c r="W33" s="327">
        <v>0</v>
      </c>
      <c r="X33" s="327">
        <v>0</v>
      </c>
      <c r="Y33" s="327">
        <v>0</v>
      </c>
      <c r="Z33" s="327">
        <v>0</v>
      </c>
      <c r="AA33" s="327">
        <v>0</v>
      </c>
      <c r="AB33" s="328">
        <f t="shared" si="2"/>
        <v>0</v>
      </c>
      <c r="AC33" s="328">
        <f t="shared" si="3"/>
        <v>0</v>
      </c>
      <c r="AD33" s="329">
        <f t="shared" si="4"/>
        <v>0</v>
      </c>
      <c r="AE33" s="101"/>
    </row>
    <row r="34" spans="2:31">
      <c r="B34" s="326" t="s">
        <v>178</v>
      </c>
      <c r="C34" s="326" t="s">
        <v>174</v>
      </c>
      <c r="D34" s="327">
        <v>0</v>
      </c>
      <c r="E34" s="327">
        <v>0</v>
      </c>
      <c r="F34" s="327">
        <v>0</v>
      </c>
      <c r="G34" s="327">
        <v>0</v>
      </c>
      <c r="H34" s="327">
        <v>0</v>
      </c>
      <c r="I34" s="327">
        <v>0</v>
      </c>
      <c r="J34" s="327">
        <v>0</v>
      </c>
      <c r="K34" s="327">
        <v>0</v>
      </c>
      <c r="L34" s="327">
        <v>0</v>
      </c>
      <c r="M34" s="327">
        <v>0</v>
      </c>
      <c r="N34" s="327">
        <v>0</v>
      </c>
      <c r="O34" s="327">
        <v>0</v>
      </c>
      <c r="P34" s="327">
        <v>0</v>
      </c>
      <c r="Q34" s="327">
        <v>0</v>
      </c>
      <c r="R34" s="327">
        <v>0</v>
      </c>
      <c r="S34" s="327">
        <v>0</v>
      </c>
      <c r="T34" s="327">
        <v>0</v>
      </c>
      <c r="U34" s="327">
        <v>0</v>
      </c>
      <c r="V34" s="327">
        <v>0</v>
      </c>
      <c r="W34" s="327">
        <v>0</v>
      </c>
      <c r="X34" s="327">
        <v>0</v>
      </c>
      <c r="Y34" s="327">
        <v>0</v>
      </c>
      <c r="Z34" s="327">
        <v>0</v>
      </c>
      <c r="AA34" s="327">
        <v>0</v>
      </c>
      <c r="AB34" s="328">
        <f t="shared" si="2"/>
        <v>0</v>
      </c>
      <c r="AC34" s="328">
        <f t="shared" si="3"/>
        <v>0</v>
      </c>
      <c r="AD34" s="329">
        <f t="shared" si="4"/>
        <v>0</v>
      </c>
      <c r="AE34" s="103">
        <f>SUM(D34:D37)+SUM(J34:J37)+SUM(P34:P37) +SUM(V34:V37)</f>
        <v>0</v>
      </c>
    </row>
    <row r="35" spans="2:31">
      <c r="B35" s="326" t="s">
        <v>178</v>
      </c>
      <c r="C35" s="326" t="s">
        <v>175</v>
      </c>
      <c r="D35" s="327">
        <v>0</v>
      </c>
      <c r="E35" s="327">
        <v>0</v>
      </c>
      <c r="F35" s="327">
        <v>0</v>
      </c>
      <c r="G35" s="327">
        <v>0</v>
      </c>
      <c r="H35" s="327">
        <v>0</v>
      </c>
      <c r="I35" s="327">
        <v>0</v>
      </c>
      <c r="J35" s="327">
        <v>0</v>
      </c>
      <c r="K35" s="327">
        <v>0</v>
      </c>
      <c r="L35" s="327">
        <v>0</v>
      </c>
      <c r="M35" s="327">
        <v>0</v>
      </c>
      <c r="N35" s="327">
        <v>0</v>
      </c>
      <c r="O35" s="327">
        <v>0</v>
      </c>
      <c r="P35" s="327">
        <v>0</v>
      </c>
      <c r="Q35" s="327">
        <v>0</v>
      </c>
      <c r="R35" s="327">
        <v>0</v>
      </c>
      <c r="S35" s="327">
        <v>0</v>
      </c>
      <c r="T35" s="327">
        <v>0</v>
      </c>
      <c r="U35" s="327">
        <v>0</v>
      </c>
      <c r="V35" s="327">
        <v>0</v>
      </c>
      <c r="W35" s="327">
        <v>0</v>
      </c>
      <c r="X35" s="327">
        <v>0</v>
      </c>
      <c r="Y35" s="327">
        <v>0</v>
      </c>
      <c r="Z35" s="327">
        <v>0</v>
      </c>
      <c r="AA35" s="327">
        <v>0</v>
      </c>
      <c r="AB35" s="328">
        <f t="shared" si="2"/>
        <v>0</v>
      </c>
      <c r="AC35" s="328">
        <f t="shared" si="3"/>
        <v>0</v>
      </c>
      <c r="AD35" s="329">
        <f t="shared" si="4"/>
        <v>0</v>
      </c>
      <c r="AE35" s="102"/>
    </row>
    <row r="36" spans="2:31">
      <c r="B36" s="326" t="s">
        <v>178</v>
      </c>
      <c r="C36" s="326" t="s">
        <v>176</v>
      </c>
      <c r="D36" s="327">
        <v>0</v>
      </c>
      <c r="E36" s="327">
        <v>0</v>
      </c>
      <c r="F36" s="327">
        <v>0</v>
      </c>
      <c r="G36" s="327">
        <v>0</v>
      </c>
      <c r="H36" s="327">
        <v>0</v>
      </c>
      <c r="I36" s="327">
        <v>0</v>
      </c>
      <c r="J36" s="327">
        <v>0</v>
      </c>
      <c r="K36" s="327">
        <v>0</v>
      </c>
      <c r="L36" s="327">
        <v>0</v>
      </c>
      <c r="M36" s="327">
        <v>0</v>
      </c>
      <c r="N36" s="327">
        <v>0</v>
      </c>
      <c r="O36" s="327">
        <v>0</v>
      </c>
      <c r="P36" s="327">
        <v>0</v>
      </c>
      <c r="Q36" s="327">
        <v>0</v>
      </c>
      <c r="R36" s="327">
        <v>0</v>
      </c>
      <c r="S36" s="327">
        <v>0</v>
      </c>
      <c r="T36" s="327">
        <v>0</v>
      </c>
      <c r="U36" s="327">
        <v>0</v>
      </c>
      <c r="V36" s="327">
        <v>0</v>
      </c>
      <c r="W36" s="327">
        <v>0</v>
      </c>
      <c r="X36" s="327">
        <v>0</v>
      </c>
      <c r="Y36" s="327">
        <v>0</v>
      </c>
      <c r="Z36" s="327">
        <v>0</v>
      </c>
      <c r="AA36" s="327">
        <v>0</v>
      </c>
      <c r="AB36" s="328">
        <f t="shared" si="2"/>
        <v>0</v>
      </c>
      <c r="AC36" s="328">
        <f t="shared" si="3"/>
        <v>0</v>
      </c>
      <c r="AD36" s="329">
        <f t="shared" si="4"/>
        <v>0</v>
      </c>
      <c r="AE36" s="102"/>
    </row>
    <row r="37" spans="2:31">
      <c r="B37" s="326" t="s">
        <v>178</v>
      </c>
      <c r="C37" s="326" t="s">
        <v>177</v>
      </c>
      <c r="D37" s="327">
        <v>0</v>
      </c>
      <c r="E37" s="327">
        <v>0</v>
      </c>
      <c r="F37" s="327">
        <v>0</v>
      </c>
      <c r="G37" s="327">
        <v>0</v>
      </c>
      <c r="H37" s="327">
        <v>0</v>
      </c>
      <c r="I37" s="327">
        <v>0</v>
      </c>
      <c r="J37" s="327">
        <v>0</v>
      </c>
      <c r="K37" s="327">
        <v>0</v>
      </c>
      <c r="L37" s="327">
        <v>0</v>
      </c>
      <c r="M37" s="327">
        <v>0</v>
      </c>
      <c r="N37" s="327">
        <v>0</v>
      </c>
      <c r="O37" s="327">
        <v>0</v>
      </c>
      <c r="P37" s="327">
        <v>0</v>
      </c>
      <c r="Q37" s="327">
        <v>0</v>
      </c>
      <c r="R37" s="327">
        <v>0</v>
      </c>
      <c r="S37" s="327">
        <v>0</v>
      </c>
      <c r="T37" s="327">
        <v>0</v>
      </c>
      <c r="U37" s="327">
        <v>0</v>
      </c>
      <c r="V37" s="327">
        <v>0</v>
      </c>
      <c r="W37" s="327">
        <v>0</v>
      </c>
      <c r="X37" s="327">
        <v>0</v>
      </c>
      <c r="Y37" s="327">
        <v>0</v>
      </c>
      <c r="Z37" s="327">
        <v>0</v>
      </c>
      <c r="AA37" s="327">
        <v>0</v>
      </c>
      <c r="AB37" s="328">
        <f t="shared" si="2"/>
        <v>0</v>
      </c>
      <c r="AC37" s="328">
        <f t="shared" si="3"/>
        <v>0</v>
      </c>
      <c r="AD37" s="329">
        <f t="shared" si="4"/>
        <v>0</v>
      </c>
      <c r="AE37" s="101"/>
    </row>
    <row r="38" spans="2:31">
      <c r="B38" s="326" t="s">
        <v>179</v>
      </c>
      <c r="C38" s="326" t="s">
        <v>174</v>
      </c>
      <c r="D38" s="327">
        <v>0</v>
      </c>
      <c r="E38" s="327">
        <v>0</v>
      </c>
      <c r="F38" s="327">
        <v>0</v>
      </c>
      <c r="G38" s="327">
        <v>0</v>
      </c>
      <c r="H38" s="327">
        <v>0</v>
      </c>
      <c r="I38" s="327">
        <v>0</v>
      </c>
      <c r="J38" s="327">
        <v>0</v>
      </c>
      <c r="K38" s="327">
        <v>0</v>
      </c>
      <c r="L38" s="327">
        <v>0</v>
      </c>
      <c r="M38" s="327">
        <v>0</v>
      </c>
      <c r="N38" s="327">
        <v>0</v>
      </c>
      <c r="O38" s="327">
        <v>0</v>
      </c>
      <c r="P38" s="327">
        <v>0</v>
      </c>
      <c r="Q38" s="327">
        <v>0</v>
      </c>
      <c r="R38" s="327">
        <v>0</v>
      </c>
      <c r="S38" s="327">
        <v>0</v>
      </c>
      <c r="T38" s="327">
        <v>0</v>
      </c>
      <c r="U38" s="327">
        <v>0</v>
      </c>
      <c r="V38" s="327">
        <v>0</v>
      </c>
      <c r="W38" s="327">
        <v>0</v>
      </c>
      <c r="X38" s="327">
        <v>0</v>
      </c>
      <c r="Y38" s="327">
        <v>0</v>
      </c>
      <c r="Z38" s="327">
        <v>0</v>
      </c>
      <c r="AA38" s="327">
        <v>0</v>
      </c>
      <c r="AB38" s="328">
        <f t="shared" si="2"/>
        <v>0</v>
      </c>
      <c r="AC38" s="328">
        <f t="shared" si="3"/>
        <v>0</v>
      </c>
      <c r="AD38" s="329">
        <f t="shared" si="4"/>
        <v>0</v>
      </c>
      <c r="AE38" s="103">
        <f>SUM(D38:D41)+SUM(J38:J41)+SUM(P38:P41) +SUM(V38:V41)</f>
        <v>0</v>
      </c>
    </row>
    <row r="39" spans="2:31">
      <c r="B39" s="326" t="s">
        <v>179</v>
      </c>
      <c r="C39" s="326" t="s">
        <v>175</v>
      </c>
      <c r="D39" s="327">
        <v>0</v>
      </c>
      <c r="E39" s="327">
        <v>0</v>
      </c>
      <c r="F39" s="327">
        <v>0</v>
      </c>
      <c r="G39" s="327">
        <v>0</v>
      </c>
      <c r="H39" s="327">
        <v>0</v>
      </c>
      <c r="I39" s="327">
        <v>0</v>
      </c>
      <c r="J39" s="327">
        <v>0</v>
      </c>
      <c r="K39" s="327">
        <v>0</v>
      </c>
      <c r="L39" s="327">
        <v>0</v>
      </c>
      <c r="M39" s="327">
        <v>0</v>
      </c>
      <c r="N39" s="327">
        <v>0</v>
      </c>
      <c r="O39" s="327">
        <v>0</v>
      </c>
      <c r="P39" s="327">
        <v>0</v>
      </c>
      <c r="Q39" s="327">
        <v>0</v>
      </c>
      <c r="R39" s="327">
        <v>0</v>
      </c>
      <c r="S39" s="327">
        <v>0</v>
      </c>
      <c r="T39" s="327">
        <v>0</v>
      </c>
      <c r="U39" s="327">
        <v>0</v>
      </c>
      <c r="V39" s="327">
        <v>0</v>
      </c>
      <c r="W39" s="327">
        <v>0</v>
      </c>
      <c r="X39" s="327">
        <v>0</v>
      </c>
      <c r="Y39" s="327">
        <v>0</v>
      </c>
      <c r="Z39" s="327">
        <v>0</v>
      </c>
      <c r="AA39" s="327">
        <v>0</v>
      </c>
      <c r="AB39" s="328">
        <f t="shared" si="2"/>
        <v>0</v>
      </c>
      <c r="AC39" s="328">
        <f t="shared" si="3"/>
        <v>0</v>
      </c>
      <c r="AD39" s="329">
        <f t="shared" si="4"/>
        <v>0</v>
      </c>
      <c r="AE39" s="102"/>
    </row>
    <row r="40" spans="2:31">
      <c r="B40" s="326" t="s">
        <v>179</v>
      </c>
      <c r="C40" s="326" t="s">
        <v>176</v>
      </c>
      <c r="D40" s="327">
        <v>0</v>
      </c>
      <c r="E40" s="327">
        <v>0</v>
      </c>
      <c r="F40" s="327">
        <v>0</v>
      </c>
      <c r="G40" s="327">
        <v>0</v>
      </c>
      <c r="H40" s="327">
        <v>0</v>
      </c>
      <c r="I40" s="327">
        <v>0</v>
      </c>
      <c r="J40" s="327">
        <v>0</v>
      </c>
      <c r="K40" s="327">
        <v>0</v>
      </c>
      <c r="L40" s="327">
        <v>0</v>
      </c>
      <c r="M40" s="327">
        <v>0</v>
      </c>
      <c r="N40" s="327">
        <v>0</v>
      </c>
      <c r="O40" s="327">
        <v>0</v>
      </c>
      <c r="P40" s="327">
        <v>0</v>
      </c>
      <c r="Q40" s="327">
        <v>0</v>
      </c>
      <c r="R40" s="327">
        <v>0</v>
      </c>
      <c r="S40" s="327">
        <v>0</v>
      </c>
      <c r="T40" s="327">
        <v>0</v>
      </c>
      <c r="U40" s="327">
        <v>0</v>
      </c>
      <c r="V40" s="327">
        <v>0</v>
      </c>
      <c r="W40" s="327">
        <v>0</v>
      </c>
      <c r="X40" s="327">
        <v>0</v>
      </c>
      <c r="Y40" s="327">
        <v>0</v>
      </c>
      <c r="Z40" s="327">
        <v>0</v>
      </c>
      <c r="AA40" s="327">
        <v>0</v>
      </c>
      <c r="AB40" s="328">
        <f t="shared" si="2"/>
        <v>0</v>
      </c>
      <c r="AC40" s="328">
        <f t="shared" si="3"/>
        <v>0</v>
      </c>
      <c r="AD40" s="329">
        <f t="shared" si="4"/>
        <v>0</v>
      </c>
      <c r="AE40" s="102"/>
    </row>
    <row r="41" spans="2:31">
      <c r="B41" s="326" t="s">
        <v>179</v>
      </c>
      <c r="C41" s="326" t="s">
        <v>177</v>
      </c>
      <c r="D41" s="327">
        <v>0</v>
      </c>
      <c r="E41" s="327">
        <v>0</v>
      </c>
      <c r="F41" s="327">
        <v>0</v>
      </c>
      <c r="G41" s="327">
        <v>0</v>
      </c>
      <c r="H41" s="327">
        <v>0</v>
      </c>
      <c r="I41" s="327">
        <v>0</v>
      </c>
      <c r="J41" s="327">
        <v>0</v>
      </c>
      <c r="K41" s="327">
        <v>0</v>
      </c>
      <c r="L41" s="327">
        <v>0</v>
      </c>
      <c r="M41" s="327">
        <v>0</v>
      </c>
      <c r="N41" s="327">
        <v>0</v>
      </c>
      <c r="O41" s="327">
        <v>0</v>
      </c>
      <c r="P41" s="327">
        <v>0</v>
      </c>
      <c r="Q41" s="327">
        <v>0</v>
      </c>
      <c r="R41" s="327">
        <v>0</v>
      </c>
      <c r="S41" s="327">
        <v>0</v>
      </c>
      <c r="T41" s="327">
        <v>0</v>
      </c>
      <c r="U41" s="327">
        <v>0</v>
      </c>
      <c r="V41" s="327">
        <v>0</v>
      </c>
      <c r="W41" s="327">
        <v>0</v>
      </c>
      <c r="X41" s="327">
        <v>0</v>
      </c>
      <c r="Y41" s="327">
        <v>0</v>
      </c>
      <c r="Z41" s="327">
        <v>0</v>
      </c>
      <c r="AA41" s="327">
        <v>0</v>
      </c>
      <c r="AB41" s="328">
        <f t="shared" si="2"/>
        <v>0</v>
      </c>
      <c r="AC41" s="328">
        <f t="shared" si="3"/>
        <v>0</v>
      </c>
      <c r="AD41" s="329">
        <f t="shared" si="4"/>
        <v>0</v>
      </c>
      <c r="AE41" s="101"/>
    </row>
    <row r="42" spans="2:31">
      <c r="B42" s="326" t="s">
        <v>180</v>
      </c>
      <c r="C42" s="326" t="s">
        <v>174</v>
      </c>
      <c r="D42" s="327">
        <v>0</v>
      </c>
      <c r="E42" s="327">
        <v>0</v>
      </c>
      <c r="F42" s="327">
        <v>0</v>
      </c>
      <c r="G42" s="327">
        <v>0</v>
      </c>
      <c r="H42" s="327">
        <v>0</v>
      </c>
      <c r="I42" s="327">
        <v>0</v>
      </c>
      <c r="J42" s="327">
        <v>0</v>
      </c>
      <c r="K42" s="327">
        <v>0</v>
      </c>
      <c r="L42" s="327">
        <v>0</v>
      </c>
      <c r="M42" s="327">
        <v>0</v>
      </c>
      <c r="N42" s="327">
        <v>0</v>
      </c>
      <c r="O42" s="327">
        <v>0</v>
      </c>
      <c r="P42" s="327">
        <v>0</v>
      </c>
      <c r="Q42" s="327">
        <v>0</v>
      </c>
      <c r="R42" s="327">
        <v>0</v>
      </c>
      <c r="S42" s="327">
        <v>0</v>
      </c>
      <c r="T42" s="327">
        <v>0</v>
      </c>
      <c r="U42" s="327">
        <v>0</v>
      </c>
      <c r="V42" s="327">
        <v>0</v>
      </c>
      <c r="W42" s="327">
        <v>0</v>
      </c>
      <c r="X42" s="327">
        <v>0</v>
      </c>
      <c r="Y42" s="327">
        <v>0</v>
      </c>
      <c r="Z42" s="327">
        <v>0</v>
      </c>
      <c r="AA42" s="327">
        <v>0</v>
      </c>
      <c r="AB42" s="328">
        <f t="shared" si="2"/>
        <v>0</v>
      </c>
      <c r="AC42" s="328">
        <f t="shared" si="3"/>
        <v>0</v>
      </c>
      <c r="AD42" s="329">
        <f t="shared" si="4"/>
        <v>0</v>
      </c>
      <c r="AE42" s="103">
        <f>SUM(D42:D45)+SUM(J42:J45)+SUM(P42:P45) +SUM(V42:V45)</f>
        <v>0</v>
      </c>
    </row>
    <row r="43" spans="2:31">
      <c r="B43" s="326" t="s">
        <v>180</v>
      </c>
      <c r="C43" s="326" t="s">
        <v>175</v>
      </c>
      <c r="D43" s="327">
        <v>0</v>
      </c>
      <c r="E43" s="327">
        <v>0</v>
      </c>
      <c r="F43" s="327">
        <v>0</v>
      </c>
      <c r="G43" s="327">
        <v>0</v>
      </c>
      <c r="H43" s="327">
        <v>0</v>
      </c>
      <c r="I43" s="327">
        <v>0</v>
      </c>
      <c r="J43" s="327">
        <v>0</v>
      </c>
      <c r="K43" s="327">
        <v>0</v>
      </c>
      <c r="L43" s="327">
        <v>0</v>
      </c>
      <c r="M43" s="327">
        <v>0</v>
      </c>
      <c r="N43" s="327">
        <v>0</v>
      </c>
      <c r="O43" s="327">
        <v>0</v>
      </c>
      <c r="P43" s="327">
        <v>0</v>
      </c>
      <c r="Q43" s="327">
        <v>0</v>
      </c>
      <c r="R43" s="327">
        <v>0</v>
      </c>
      <c r="S43" s="327">
        <v>0</v>
      </c>
      <c r="T43" s="327">
        <v>0</v>
      </c>
      <c r="U43" s="327">
        <v>0</v>
      </c>
      <c r="V43" s="327">
        <v>0</v>
      </c>
      <c r="W43" s="327">
        <v>0</v>
      </c>
      <c r="X43" s="327">
        <v>0</v>
      </c>
      <c r="Y43" s="327">
        <v>0</v>
      </c>
      <c r="Z43" s="327">
        <v>0</v>
      </c>
      <c r="AA43" s="327">
        <v>0</v>
      </c>
      <c r="AB43" s="328">
        <f t="shared" si="2"/>
        <v>0</v>
      </c>
      <c r="AC43" s="328">
        <f t="shared" si="3"/>
        <v>0</v>
      </c>
      <c r="AD43" s="329">
        <f t="shared" si="4"/>
        <v>0</v>
      </c>
      <c r="AE43" s="102"/>
    </row>
    <row r="44" spans="2:31">
      <c r="B44" s="326" t="s">
        <v>180</v>
      </c>
      <c r="C44" s="326" t="s">
        <v>176</v>
      </c>
      <c r="D44" s="327">
        <v>0</v>
      </c>
      <c r="E44" s="327">
        <v>0</v>
      </c>
      <c r="F44" s="327">
        <v>0</v>
      </c>
      <c r="G44" s="327">
        <v>0</v>
      </c>
      <c r="H44" s="327">
        <v>0</v>
      </c>
      <c r="I44" s="327">
        <v>0</v>
      </c>
      <c r="J44" s="327">
        <v>0</v>
      </c>
      <c r="K44" s="327">
        <v>0</v>
      </c>
      <c r="L44" s="327">
        <v>0</v>
      </c>
      <c r="M44" s="327">
        <v>0</v>
      </c>
      <c r="N44" s="327">
        <v>0</v>
      </c>
      <c r="O44" s="327">
        <v>0</v>
      </c>
      <c r="P44" s="327">
        <v>0</v>
      </c>
      <c r="Q44" s="327">
        <v>0</v>
      </c>
      <c r="R44" s="327">
        <v>0</v>
      </c>
      <c r="S44" s="327">
        <v>0</v>
      </c>
      <c r="T44" s="327">
        <v>0</v>
      </c>
      <c r="U44" s="327">
        <v>0</v>
      </c>
      <c r="V44" s="327">
        <v>0</v>
      </c>
      <c r="W44" s="327">
        <v>0</v>
      </c>
      <c r="X44" s="327">
        <v>0</v>
      </c>
      <c r="Y44" s="327">
        <v>0</v>
      </c>
      <c r="Z44" s="327">
        <v>0</v>
      </c>
      <c r="AA44" s="327">
        <v>0</v>
      </c>
      <c r="AB44" s="328">
        <f t="shared" si="2"/>
        <v>0</v>
      </c>
      <c r="AC44" s="328">
        <f t="shared" si="3"/>
        <v>0</v>
      </c>
      <c r="AD44" s="329">
        <f t="shared" si="4"/>
        <v>0</v>
      </c>
      <c r="AE44" s="102"/>
    </row>
    <row r="45" spans="2:31">
      <c r="B45" s="326" t="s">
        <v>180</v>
      </c>
      <c r="C45" s="326" t="s">
        <v>177</v>
      </c>
      <c r="D45" s="327">
        <v>0</v>
      </c>
      <c r="E45" s="327">
        <v>0</v>
      </c>
      <c r="F45" s="327">
        <v>0</v>
      </c>
      <c r="G45" s="327">
        <v>0</v>
      </c>
      <c r="H45" s="327">
        <v>0</v>
      </c>
      <c r="I45" s="327">
        <v>0</v>
      </c>
      <c r="J45" s="327">
        <v>0</v>
      </c>
      <c r="K45" s="327">
        <v>0</v>
      </c>
      <c r="L45" s="327">
        <v>0</v>
      </c>
      <c r="M45" s="327">
        <v>0</v>
      </c>
      <c r="N45" s="327">
        <v>0</v>
      </c>
      <c r="O45" s="327">
        <v>0</v>
      </c>
      <c r="P45" s="327">
        <v>0</v>
      </c>
      <c r="Q45" s="327">
        <v>0</v>
      </c>
      <c r="R45" s="327">
        <v>0</v>
      </c>
      <c r="S45" s="327">
        <v>0</v>
      </c>
      <c r="T45" s="327">
        <v>0</v>
      </c>
      <c r="U45" s="327">
        <v>0</v>
      </c>
      <c r="V45" s="327">
        <v>0</v>
      </c>
      <c r="W45" s="327">
        <v>0</v>
      </c>
      <c r="X45" s="327">
        <v>0</v>
      </c>
      <c r="Y45" s="327">
        <v>0</v>
      </c>
      <c r="Z45" s="327">
        <v>0</v>
      </c>
      <c r="AA45" s="327">
        <v>0</v>
      </c>
      <c r="AB45" s="328">
        <f t="shared" si="2"/>
        <v>0</v>
      </c>
      <c r="AC45" s="328">
        <f t="shared" si="3"/>
        <v>0</v>
      </c>
      <c r="AD45" s="329">
        <f t="shared" si="4"/>
        <v>0</v>
      </c>
      <c r="AE45" s="101"/>
    </row>
    <row r="46" spans="2:31">
      <c r="B46" s="326" t="s">
        <v>181</v>
      </c>
      <c r="C46" s="326" t="s">
        <v>174</v>
      </c>
      <c r="D46" s="327">
        <v>0</v>
      </c>
      <c r="E46" s="327">
        <v>0</v>
      </c>
      <c r="F46" s="327">
        <v>0</v>
      </c>
      <c r="G46" s="327">
        <v>0</v>
      </c>
      <c r="H46" s="327">
        <v>0</v>
      </c>
      <c r="I46" s="327">
        <v>0</v>
      </c>
      <c r="J46" s="327">
        <v>0</v>
      </c>
      <c r="K46" s="327">
        <v>0</v>
      </c>
      <c r="L46" s="327">
        <v>0</v>
      </c>
      <c r="M46" s="327">
        <v>0</v>
      </c>
      <c r="N46" s="327">
        <v>0</v>
      </c>
      <c r="O46" s="327">
        <v>0</v>
      </c>
      <c r="P46" s="327">
        <v>0</v>
      </c>
      <c r="Q46" s="327">
        <v>0</v>
      </c>
      <c r="R46" s="327">
        <v>0</v>
      </c>
      <c r="S46" s="327">
        <v>0</v>
      </c>
      <c r="T46" s="327">
        <v>0</v>
      </c>
      <c r="U46" s="327">
        <v>0</v>
      </c>
      <c r="V46" s="327">
        <v>0</v>
      </c>
      <c r="W46" s="327">
        <v>0</v>
      </c>
      <c r="X46" s="327">
        <v>0</v>
      </c>
      <c r="Y46" s="327">
        <v>0</v>
      </c>
      <c r="Z46" s="327">
        <v>0</v>
      </c>
      <c r="AA46" s="327">
        <v>0</v>
      </c>
      <c r="AB46" s="328">
        <f t="shared" si="2"/>
        <v>0</v>
      </c>
      <c r="AC46" s="328">
        <f t="shared" si="3"/>
        <v>0</v>
      </c>
      <c r="AD46" s="329">
        <f t="shared" si="4"/>
        <v>0</v>
      </c>
      <c r="AE46" s="103">
        <f>SUM(D46:D49)+SUM(J46:J49)+SUM(P46:P49) +SUM(V46:V49)</f>
        <v>0</v>
      </c>
    </row>
    <row r="47" spans="2:31">
      <c r="B47" s="326" t="s">
        <v>181</v>
      </c>
      <c r="C47" s="326" t="s">
        <v>175</v>
      </c>
      <c r="D47" s="327">
        <v>0</v>
      </c>
      <c r="E47" s="327">
        <v>0</v>
      </c>
      <c r="F47" s="327">
        <v>0</v>
      </c>
      <c r="G47" s="327">
        <v>0</v>
      </c>
      <c r="H47" s="327">
        <v>0</v>
      </c>
      <c r="I47" s="327">
        <v>0</v>
      </c>
      <c r="J47" s="327">
        <v>0</v>
      </c>
      <c r="K47" s="327">
        <v>0</v>
      </c>
      <c r="L47" s="327">
        <v>0</v>
      </c>
      <c r="M47" s="327">
        <v>0</v>
      </c>
      <c r="N47" s="327">
        <v>0</v>
      </c>
      <c r="O47" s="327">
        <v>0</v>
      </c>
      <c r="P47" s="327">
        <v>0</v>
      </c>
      <c r="Q47" s="327">
        <v>0</v>
      </c>
      <c r="R47" s="327">
        <v>0</v>
      </c>
      <c r="S47" s="327">
        <v>0</v>
      </c>
      <c r="T47" s="327">
        <v>0</v>
      </c>
      <c r="U47" s="327">
        <v>0</v>
      </c>
      <c r="V47" s="327">
        <v>0</v>
      </c>
      <c r="W47" s="327">
        <v>0</v>
      </c>
      <c r="X47" s="327">
        <v>0</v>
      </c>
      <c r="Y47" s="327">
        <v>0</v>
      </c>
      <c r="Z47" s="327">
        <v>0</v>
      </c>
      <c r="AA47" s="327">
        <v>0</v>
      </c>
      <c r="AB47" s="328">
        <f t="shared" si="2"/>
        <v>0</v>
      </c>
      <c r="AC47" s="328">
        <f t="shared" si="3"/>
        <v>0</v>
      </c>
      <c r="AD47" s="329">
        <f t="shared" si="4"/>
        <v>0</v>
      </c>
      <c r="AE47" s="102"/>
    </row>
    <row r="48" spans="2:31">
      <c r="B48" s="326" t="s">
        <v>181</v>
      </c>
      <c r="C48" s="326" t="s">
        <v>176</v>
      </c>
      <c r="D48" s="327">
        <v>0</v>
      </c>
      <c r="E48" s="327">
        <v>0</v>
      </c>
      <c r="F48" s="327">
        <v>0</v>
      </c>
      <c r="G48" s="327">
        <v>0</v>
      </c>
      <c r="H48" s="327">
        <v>0</v>
      </c>
      <c r="I48" s="327">
        <v>0</v>
      </c>
      <c r="J48" s="327">
        <v>0</v>
      </c>
      <c r="K48" s="327">
        <v>0</v>
      </c>
      <c r="L48" s="327">
        <v>0</v>
      </c>
      <c r="M48" s="327">
        <v>0</v>
      </c>
      <c r="N48" s="327">
        <v>0</v>
      </c>
      <c r="O48" s="327">
        <v>0</v>
      </c>
      <c r="P48" s="327">
        <v>0</v>
      </c>
      <c r="Q48" s="327">
        <v>0</v>
      </c>
      <c r="R48" s="327">
        <v>0</v>
      </c>
      <c r="S48" s="327">
        <v>0</v>
      </c>
      <c r="T48" s="327">
        <v>0</v>
      </c>
      <c r="U48" s="327">
        <v>0</v>
      </c>
      <c r="V48" s="327">
        <v>0</v>
      </c>
      <c r="W48" s="327">
        <v>0</v>
      </c>
      <c r="X48" s="327">
        <v>0</v>
      </c>
      <c r="Y48" s="327">
        <v>0</v>
      </c>
      <c r="Z48" s="327">
        <v>0</v>
      </c>
      <c r="AA48" s="327">
        <v>0</v>
      </c>
      <c r="AB48" s="328">
        <f t="shared" si="2"/>
        <v>0</v>
      </c>
      <c r="AC48" s="328">
        <f t="shared" si="3"/>
        <v>0</v>
      </c>
      <c r="AD48" s="329">
        <f t="shared" si="4"/>
        <v>0</v>
      </c>
      <c r="AE48" s="102"/>
    </row>
    <row r="49" spans="2:31">
      <c r="B49" s="326" t="s">
        <v>181</v>
      </c>
      <c r="C49" s="326" t="s">
        <v>177</v>
      </c>
      <c r="D49" s="327">
        <v>0</v>
      </c>
      <c r="E49" s="327">
        <v>0</v>
      </c>
      <c r="F49" s="327">
        <v>0</v>
      </c>
      <c r="G49" s="327">
        <v>0</v>
      </c>
      <c r="H49" s="327">
        <v>0</v>
      </c>
      <c r="I49" s="327">
        <v>0</v>
      </c>
      <c r="J49" s="327">
        <v>0</v>
      </c>
      <c r="K49" s="327">
        <v>0</v>
      </c>
      <c r="L49" s="327">
        <v>0</v>
      </c>
      <c r="M49" s="327">
        <v>0</v>
      </c>
      <c r="N49" s="327">
        <v>0</v>
      </c>
      <c r="O49" s="327">
        <v>0</v>
      </c>
      <c r="P49" s="327">
        <v>0</v>
      </c>
      <c r="Q49" s="327">
        <v>0</v>
      </c>
      <c r="R49" s="327">
        <v>0</v>
      </c>
      <c r="S49" s="327">
        <v>0</v>
      </c>
      <c r="T49" s="327">
        <v>0</v>
      </c>
      <c r="U49" s="327">
        <v>0</v>
      </c>
      <c r="V49" s="327">
        <v>0</v>
      </c>
      <c r="W49" s="327">
        <v>0</v>
      </c>
      <c r="X49" s="327">
        <v>0</v>
      </c>
      <c r="Y49" s="327">
        <v>0</v>
      </c>
      <c r="Z49" s="327">
        <v>0</v>
      </c>
      <c r="AA49" s="327">
        <v>0</v>
      </c>
      <c r="AB49" s="328">
        <f t="shared" si="2"/>
        <v>0</v>
      </c>
      <c r="AC49" s="328">
        <f t="shared" si="3"/>
        <v>0</v>
      </c>
      <c r="AD49" s="329">
        <f t="shared" si="4"/>
        <v>0</v>
      </c>
      <c r="AE49" s="101"/>
    </row>
    <row r="50" spans="2:31">
      <c r="B50" s="326" t="s">
        <v>182</v>
      </c>
      <c r="C50" s="326" t="s">
        <v>174</v>
      </c>
      <c r="D50" s="327">
        <v>0</v>
      </c>
      <c r="E50" s="327">
        <v>0</v>
      </c>
      <c r="F50" s="327">
        <v>0</v>
      </c>
      <c r="G50" s="327">
        <v>0</v>
      </c>
      <c r="H50" s="327">
        <v>0</v>
      </c>
      <c r="I50" s="327">
        <v>0</v>
      </c>
      <c r="J50" s="327">
        <v>0</v>
      </c>
      <c r="K50" s="327">
        <v>0</v>
      </c>
      <c r="L50" s="327">
        <v>0</v>
      </c>
      <c r="M50" s="327">
        <v>0</v>
      </c>
      <c r="N50" s="327">
        <v>0</v>
      </c>
      <c r="O50" s="327">
        <v>0</v>
      </c>
      <c r="P50" s="327">
        <v>0</v>
      </c>
      <c r="Q50" s="327">
        <v>0</v>
      </c>
      <c r="R50" s="327">
        <v>0</v>
      </c>
      <c r="S50" s="327">
        <v>0</v>
      </c>
      <c r="T50" s="327">
        <v>0</v>
      </c>
      <c r="U50" s="327">
        <v>0</v>
      </c>
      <c r="V50" s="327">
        <v>0</v>
      </c>
      <c r="W50" s="327">
        <v>0</v>
      </c>
      <c r="X50" s="327">
        <v>0</v>
      </c>
      <c r="Y50" s="327">
        <v>0</v>
      </c>
      <c r="Z50" s="327">
        <v>0</v>
      </c>
      <c r="AA50" s="327">
        <v>0</v>
      </c>
      <c r="AB50" s="328">
        <f t="shared" si="2"/>
        <v>0</v>
      </c>
      <c r="AC50" s="328">
        <f t="shared" si="3"/>
        <v>0</v>
      </c>
      <c r="AD50" s="329">
        <f t="shared" si="4"/>
        <v>0</v>
      </c>
      <c r="AE50" s="103">
        <f>SUM(D50:D53)+SUM(J50:J53)+SUM(P50:P53) +SUM(V50:V53)</f>
        <v>0</v>
      </c>
    </row>
    <row r="51" spans="2:31">
      <c r="B51" s="326" t="s">
        <v>182</v>
      </c>
      <c r="C51" s="326" t="s">
        <v>175</v>
      </c>
      <c r="D51" s="327">
        <v>0</v>
      </c>
      <c r="E51" s="327">
        <v>0</v>
      </c>
      <c r="F51" s="327">
        <v>0</v>
      </c>
      <c r="G51" s="327">
        <v>0</v>
      </c>
      <c r="H51" s="327">
        <v>0</v>
      </c>
      <c r="I51" s="327">
        <v>0</v>
      </c>
      <c r="J51" s="327">
        <v>0</v>
      </c>
      <c r="K51" s="327">
        <v>0</v>
      </c>
      <c r="L51" s="327">
        <v>0</v>
      </c>
      <c r="M51" s="327">
        <v>0</v>
      </c>
      <c r="N51" s="327">
        <v>0</v>
      </c>
      <c r="O51" s="327">
        <v>0</v>
      </c>
      <c r="P51" s="327">
        <v>0</v>
      </c>
      <c r="Q51" s="327">
        <v>0</v>
      </c>
      <c r="R51" s="327">
        <v>0</v>
      </c>
      <c r="S51" s="327">
        <v>0</v>
      </c>
      <c r="T51" s="327">
        <v>0</v>
      </c>
      <c r="U51" s="327">
        <v>0</v>
      </c>
      <c r="V51" s="327">
        <v>0</v>
      </c>
      <c r="W51" s="327">
        <v>0</v>
      </c>
      <c r="X51" s="327">
        <v>0</v>
      </c>
      <c r="Y51" s="327">
        <v>0</v>
      </c>
      <c r="Z51" s="327">
        <v>0</v>
      </c>
      <c r="AA51" s="327">
        <v>0</v>
      </c>
      <c r="AB51" s="328">
        <f t="shared" si="2"/>
        <v>0</v>
      </c>
      <c r="AC51" s="328">
        <f t="shared" si="3"/>
        <v>0</v>
      </c>
      <c r="AD51" s="329">
        <f t="shared" si="4"/>
        <v>0</v>
      </c>
      <c r="AE51" s="102"/>
    </row>
    <row r="52" spans="2:31">
      <c r="B52" s="326" t="s">
        <v>182</v>
      </c>
      <c r="C52" s="326" t="s">
        <v>176</v>
      </c>
      <c r="D52" s="327">
        <v>0</v>
      </c>
      <c r="E52" s="327">
        <v>0</v>
      </c>
      <c r="F52" s="327">
        <v>0</v>
      </c>
      <c r="G52" s="327">
        <v>0</v>
      </c>
      <c r="H52" s="327">
        <v>0</v>
      </c>
      <c r="I52" s="327">
        <v>0</v>
      </c>
      <c r="J52" s="327">
        <v>0</v>
      </c>
      <c r="K52" s="327">
        <v>0</v>
      </c>
      <c r="L52" s="327">
        <v>0</v>
      </c>
      <c r="M52" s="327">
        <v>0</v>
      </c>
      <c r="N52" s="327">
        <v>0</v>
      </c>
      <c r="O52" s="327">
        <v>0</v>
      </c>
      <c r="P52" s="327">
        <v>0</v>
      </c>
      <c r="Q52" s="327">
        <v>0</v>
      </c>
      <c r="R52" s="327">
        <v>0</v>
      </c>
      <c r="S52" s="327">
        <v>0</v>
      </c>
      <c r="T52" s="327">
        <v>0</v>
      </c>
      <c r="U52" s="327">
        <v>0</v>
      </c>
      <c r="V52" s="327">
        <v>0</v>
      </c>
      <c r="W52" s="327">
        <v>0</v>
      </c>
      <c r="X52" s="327">
        <v>0</v>
      </c>
      <c r="Y52" s="327">
        <v>0</v>
      </c>
      <c r="Z52" s="327">
        <v>0</v>
      </c>
      <c r="AA52" s="327">
        <v>0</v>
      </c>
      <c r="AB52" s="328">
        <f t="shared" si="2"/>
        <v>0</v>
      </c>
      <c r="AC52" s="328">
        <f t="shared" si="3"/>
        <v>0</v>
      </c>
      <c r="AD52" s="329">
        <f t="shared" si="4"/>
        <v>0</v>
      </c>
      <c r="AE52" s="102"/>
    </row>
    <row r="53" spans="2:31">
      <c r="B53" s="326" t="s">
        <v>182</v>
      </c>
      <c r="C53" s="326" t="s">
        <v>177</v>
      </c>
      <c r="D53" s="327">
        <v>0</v>
      </c>
      <c r="E53" s="327">
        <v>0</v>
      </c>
      <c r="F53" s="327">
        <v>0</v>
      </c>
      <c r="G53" s="327">
        <v>0</v>
      </c>
      <c r="H53" s="327">
        <v>0</v>
      </c>
      <c r="I53" s="327">
        <v>0</v>
      </c>
      <c r="J53" s="327">
        <v>0</v>
      </c>
      <c r="K53" s="327">
        <v>0</v>
      </c>
      <c r="L53" s="327">
        <v>0</v>
      </c>
      <c r="M53" s="327">
        <v>0</v>
      </c>
      <c r="N53" s="327">
        <v>0</v>
      </c>
      <c r="O53" s="327">
        <v>0</v>
      </c>
      <c r="P53" s="327">
        <v>0</v>
      </c>
      <c r="Q53" s="327">
        <v>0</v>
      </c>
      <c r="R53" s="327">
        <v>0</v>
      </c>
      <c r="S53" s="327">
        <v>0</v>
      </c>
      <c r="T53" s="327">
        <v>0</v>
      </c>
      <c r="U53" s="327">
        <v>0</v>
      </c>
      <c r="V53" s="327">
        <v>0</v>
      </c>
      <c r="W53" s="327">
        <v>0</v>
      </c>
      <c r="X53" s="327">
        <v>0</v>
      </c>
      <c r="Y53" s="327">
        <v>0</v>
      </c>
      <c r="Z53" s="327">
        <v>0</v>
      </c>
      <c r="AA53" s="327">
        <v>0</v>
      </c>
      <c r="AB53" s="328">
        <f t="shared" si="2"/>
        <v>0</v>
      </c>
      <c r="AC53" s="328">
        <f t="shared" si="3"/>
        <v>0</v>
      </c>
      <c r="AD53" s="329">
        <f t="shared" si="4"/>
        <v>0</v>
      </c>
      <c r="AE53" s="101"/>
    </row>
  </sheetData>
  <sheetProtection password="85CC" sheet="1" insertRows="0"/>
  <mergeCells count="37">
    <mergeCell ref="AE46:AE49"/>
    <mergeCell ref="AE34:AE37"/>
    <mergeCell ref="AE38:AE41"/>
    <mergeCell ref="AE42:AE45"/>
    <mergeCell ref="AE50:AE53"/>
    <mergeCell ref="B16:B19"/>
    <mergeCell ref="B26:AE26"/>
    <mergeCell ref="P27:U27"/>
    <mergeCell ref="P28:R28"/>
    <mergeCell ref="B1:P1"/>
    <mergeCell ref="C2:P2"/>
    <mergeCell ref="C16:E16"/>
    <mergeCell ref="G16:J16"/>
    <mergeCell ref="B2:B13"/>
    <mergeCell ref="H3:J3"/>
    <mergeCell ref="K3:M3"/>
    <mergeCell ref="N3:P3"/>
    <mergeCell ref="E3:G3"/>
    <mergeCell ref="C17:D17"/>
    <mergeCell ref="B27:B29"/>
    <mergeCell ref="C27:C29"/>
    <mergeCell ref="AE30:AE33"/>
    <mergeCell ref="B25:AE25"/>
    <mergeCell ref="B22:AE22"/>
    <mergeCell ref="B23:AE23"/>
    <mergeCell ref="B24:AE24"/>
    <mergeCell ref="D27:I27"/>
    <mergeCell ref="D28:F28"/>
    <mergeCell ref="G28:I28"/>
    <mergeCell ref="J27:O27"/>
    <mergeCell ref="J28:L28"/>
    <mergeCell ref="M28:O28"/>
    <mergeCell ref="AB27:AC27"/>
    <mergeCell ref="S28:U28"/>
    <mergeCell ref="V28:X28"/>
    <mergeCell ref="Y28:AA28"/>
    <mergeCell ref="V27:AA27"/>
  </mergeCells>
  <dataValidations count="1">
    <dataValidation type="whole" allowBlank="1" showInputMessage="1" showErrorMessage="1" sqref="D30:AA53" xr:uid="{00000000-0002-0000-0300-000000000000}">
      <formula1>0</formula1>
      <formula2>999999</formula2>
    </dataValidation>
  </dataValidation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AE29"/>
  <sheetViews>
    <sheetView topLeftCell="F1" zoomScale="80" zoomScaleNormal="80" workbookViewId="0">
      <selection activeCell="Z2" sqref="Z2 B1:AE1048576"/>
    </sheetView>
  </sheetViews>
  <sheetFormatPr defaultColWidth="8.7109375" defaultRowHeight="15"/>
  <cols>
    <col min="1" max="2" width="8.7109375" style="234" customWidth="1"/>
    <col min="3" max="3" width="11.85546875" style="234" customWidth="1"/>
    <col min="4" max="5" width="10.42578125" style="234" customWidth="1"/>
    <col min="6" max="6" width="19.42578125" style="234" customWidth="1"/>
    <col min="7" max="7" width="12.140625" style="234" customWidth="1"/>
    <col min="8" max="8" width="11.85546875" style="234" customWidth="1"/>
    <col min="9" max="9" width="19.28515625" style="234" customWidth="1"/>
    <col min="10" max="10" width="10.85546875" style="234" customWidth="1"/>
    <col min="11" max="11" width="11" style="234" customWidth="1"/>
    <col min="12" max="12" width="16.7109375" style="234" customWidth="1"/>
    <col min="13" max="13" width="10.42578125" style="234" customWidth="1"/>
    <col min="14" max="14" width="11.7109375" style="234" customWidth="1"/>
    <col min="15" max="15" width="17.140625" style="234" customWidth="1"/>
    <col min="16" max="16" width="10.85546875" style="234" customWidth="1"/>
    <col min="17" max="17" width="9.85546875" style="234" customWidth="1"/>
    <col min="18" max="18" width="19.28515625" style="234" customWidth="1"/>
    <col min="19" max="19" width="11.5703125" style="234" customWidth="1"/>
    <col min="20" max="20" width="12.28515625" style="234" customWidth="1"/>
    <col min="21" max="21" width="18.140625" style="234" customWidth="1"/>
    <col min="22" max="22" width="11.42578125" style="234" customWidth="1"/>
    <col min="23" max="23" width="14" style="234" customWidth="1"/>
    <col min="24" max="24" width="18.42578125" style="234" customWidth="1"/>
    <col min="25" max="25" width="11.42578125" style="234" customWidth="1"/>
    <col min="26" max="26" width="10" customWidth="1"/>
    <col min="27" max="27" width="18.85546875" style="234" customWidth="1"/>
    <col min="28" max="29" width="8.7109375" style="234" customWidth="1"/>
    <col min="30" max="30" width="11.5703125" style="234" customWidth="1"/>
    <col min="31" max="31" width="8.7109375" style="234" customWidth="1"/>
    <col min="32" max="16384" width="8.7109375" style="234"/>
  </cols>
  <sheetData>
    <row r="1" spans="2:31" customFormat="1" ht="16.5" customHeight="1" thickBot="1">
      <c r="B1" s="99" t="s">
        <v>183</v>
      </c>
      <c r="C1" s="99"/>
      <c r="D1" s="99"/>
      <c r="E1" s="99"/>
      <c r="F1" s="99"/>
      <c r="G1" s="99"/>
      <c r="H1" s="99"/>
      <c r="I1" s="99"/>
      <c r="J1" s="99"/>
      <c r="K1" s="99"/>
      <c r="L1" s="99"/>
      <c r="M1" s="99"/>
      <c r="N1" s="99"/>
      <c r="O1" s="99"/>
      <c r="P1" s="99"/>
      <c r="Q1" s="99"/>
      <c r="R1" s="99"/>
      <c r="S1" s="99"/>
      <c r="T1" s="99"/>
      <c r="U1" s="99"/>
      <c r="V1" s="99"/>
      <c r="W1" s="99"/>
      <c r="X1" s="99"/>
      <c r="Y1" s="99"/>
      <c r="Z1" s="99"/>
      <c r="AA1" s="99"/>
      <c r="AB1" s="99"/>
      <c r="AC1" s="99"/>
      <c r="AD1" s="99"/>
      <c r="AE1" s="99"/>
    </row>
    <row r="2" spans="2:31" customFormat="1" ht="16.5" customHeight="1" thickBot="1">
      <c r="B2" s="61" t="s">
        <v>184</v>
      </c>
      <c r="C2" s="61"/>
      <c r="D2" s="61"/>
      <c r="E2" s="61"/>
      <c r="F2" s="61"/>
      <c r="G2" s="61"/>
      <c r="H2" s="61"/>
      <c r="I2" s="61"/>
      <c r="J2" s="61"/>
      <c r="K2" s="61"/>
      <c r="L2" s="61"/>
      <c r="M2" s="61"/>
      <c r="N2" s="61"/>
      <c r="O2" s="61"/>
      <c r="P2" s="61"/>
      <c r="Q2" s="61"/>
      <c r="R2" s="61"/>
      <c r="S2" s="61"/>
      <c r="T2" s="61"/>
      <c r="U2" s="61"/>
      <c r="V2" s="61"/>
      <c r="W2" s="61"/>
      <c r="X2" s="330"/>
      <c r="Y2" s="330"/>
      <c r="Z2" s="330"/>
      <c r="AA2" s="330"/>
      <c r="AB2" s="330"/>
      <c r="AC2" s="330"/>
      <c r="AD2" s="330"/>
      <c r="AE2" s="330"/>
    </row>
    <row r="3" spans="2:31" customFormat="1" ht="45.75" customHeight="1" thickBot="1">
      <c r="B3" s="66" t="s">
        <v>165</v>
      </c>
      <c r="C3" s="66" t="s">
        <v>166</v>
      </c>
      <c r="D3" s="87" t="s">
        <v>137</v>
      </c>
      <c r="E3" s="86"/>
      <c r="F3" s="86"/>
      <c r="G3" s="86"/>
      <c r="H3" s="86"/>
      <c r="I3" s="85"/>
      <c r="J3" s="87" t="s">
        <v>138</v>
      </c>
      <c r="K3" s="86"/>
      <c r="L3" s="86"/>
      <c r="M3" s="86"/>
      <c r="N3" s="86"/>
      <c r="O3" s="85"/>
      <c r="P3" s="87" t="s">
        <v>139</v>
      </c>
      <c r="Q3" s="86"/>
      <c r="R3" s="86"/>
      <c r="S3" s="86"/>
      <c r="T3" s="86"/>
      <c r="U3" s="85"/>
      <c r="V3" s="87" t="s">
        <v>167</v>
      </c>
      <c r="W3" s="86"/>
      <c r="X3" s="86"/>
      <c r="Y3" s="86"/>
      <c r="Z3" s="86"/>
      <c r="AA3" s="85"/>
      <c r="AB3" s="63" t="s">
        <v>168</v>
      </c>
      <c r="AC3" s="62"/>
      <c r="AD3" s="322" t="s">
        <v>156</v>
      </c>
      <c r="AE3" s="322" t="s">
        <v>169</v>
      </c>
    </row>
    <row r="4" spans="2:31" customFormat="1" ht="19.5" customHeight="1" thickBot="1">
      <c r="B4" s="65"/>
      <c r="C4" s="65"/>
      <c r="D4" s="87" t="s">
        <v>157</v>
      </c>
      <c r="E4" s="86"/>
      <c r="F4" s="85"/>
      <c r="G4" s="84" t="s">
        <v>158</v>
      </c>
      <c r="H4" s="83"/>
      <c r="I4" s="82"/>
      <c r="J4" s="84" t="s">
        <v>157</v>
      </c>
      <c r="K4" s="83"/>
      <c r="L4" s="82"/>
      <c r="M4" s="84" t="s">
        <v>158</v>
      </c>
      <c r="N4" s="83"/>
      <c r="O4" s="82"/>
      <c r="P4" s="84" t="s">
        <v>157</v>
      </c>
      <c r="Q4" s="83"/>
      <c r="R4" s="82"/>
      <c r="S4" s="84" t="s">
        <v>158</v>
      </c>
      <c r="T4" s="83"/>
      <c r="U4" s="82"/>
      <c r="V4" s="84" t="s">
        <v>157</v>
      </c>
      <c r="W4" s="83"/>
      <c r="X4" s="82"/>
      <c r="Y4" s="84" t="s">
        <v>158</v>
      </c>
      <c r="Z4" s="83"/>
      <c r="AA4" s="82"/>
      <c r="AB4" s="323"/>
      <c r="AC4" s="323"/>
      <c r="AD4" s="322"/>
      <c r="AE4" s="322"/>
    </row>
    <row r="5" spans="2:31" customFormat="1" ht="30.75" customHeight="1" thickBot="1">
      <c r="B5" s="64"/>
      <c r="C5" s="64"/>
      <c r="D5" s="280" t="s">
        <v>170</v>
      </c>
      <c r="E5" s="280" t="s">
        <v>171</v>
      </c>
      <c r="F5" s="324" t="s">
        <v>172</v>
      </c>
      <c r="G5" s="280" t="s">
        <v>170</v>
      </c>
      <c r="H5" s="280" t="s">
        <v>171</v>
      </c>
      <c r="I5" s="324" t="s">
        <v>172</v>
      </c>
      <c r="J5" s="280" t="s">
        <v>170</v>
      </c>
      <c r="K5" s="280" t="s">
        <v>171</v>
      </c>
      <c r="L5" s="324" t="s">
        <v>172</v>
      </c>
      <c r="M5" s="280" t="s">
        <v>170</v>
      </c>
      <c r="N5" s="280" t="s">
        <v>171</v>
      </c>
      <c r="O5" s="324" t="s">
        <v>172</v>
      </c>
      <c r="P5" s="280" t="s">
        <v>170</v>
      </c>
      <c r="Q5" s="280" t="s">
        <v>171</v>
      </c>
      <c r="R5" s="324" t="s">
        <v>172</v>
      </c>
      <c r="S5" s="280" t="s">
        <v>170</v>
      </c>
      <c r="T5" s="280" t="s">
        <v>171</v>
      </c>
      <c r="U5" s="324" t="s">
        <v>172</v>
      </c>
      <c r="V5" s="280" t="s">
        <v>170</v>
      </c>
      <c r="W5" s="280" t="s">
        <v>171</v>
      </c>
      <c r="X5" s="324" t="s">
        <v>172</v>
      </c>
      <c r="Y5" s="280" t="s">
        <v>170</v>
      </c>
      <c r="Z5" s="280" t="s">
        <v>171</v>
      </c>
      <c r="AA5" s="324" t="s">
        <v>172</v>
      </c>
      <c r="AB5" s="280" t="s">
        <v>157</v>
      </c>
      <c r="AC5" s="280" t="s">
        <v>158</v>
      </c>
      <c r="AD5" s="325"/>
      <c r="AE5" s="280" t="s">
        <v>157</v>
      </c>
    </row>
    <row r="6" spans="2:31">
      <c r="B6" s="326" t="s">
        <v>173</v>
      </c>
      <c r="C6" s="326" t="s">
        <v>174</v>
      </c>
      <c r="D6" s="327">
        <v>0</v>
      </c>
      <c r="E6" s="327">
        <v>0</v>
      </c>
      <c r="F6" s="327">
        <v>0</v>
      </c>
      <c r="G6" s="327">
        <v>0</v>
      </c>
      <c r="H6" s="327">
        <v>0</v>
      </c>
      <c r="I6" s="327">
        <v>0</v>
      </c>
      <c r="J6" s="327">
        <v>0</v>
      </c>
      <c r="K6" s="327">
        <v>0</v>
      </c>
      <c r="L6" s="327">
        <v>0</v>
      </c>
      <c r="M6" s="327">
        <v>0</v>
      </c>
      <c r="N6" s="327">
        <v>0</v>
      </c>
      <c r="O6" s="327">
        <v>0</v>
      </c>
      <c r="P6" s="327">
        <v>0</v>
      </c>
      <c r="Q6" s="327">
        <v>0</v>
      </c>
      <c r="R6" s="327">
        <v>0</v>
      </c>
      <c r="S6" s="327">
        <v>0</v>
      </c>
      <c r="T6" s="327">
        <v>0</v>
      </c>
      <c r="U6" s="327">
        <v>0</v>
      </c>
      <c r="V6" s="327">
        <v>0</v>
      </c>
      <c r="W6" s="327">
        <v>0</v>
      </c>
      <c r="X6" s="327">
        <v>0</v>
      </c>
      <c r="Y6" s="327">
        <v>0</v>
      </c>
      <c r="Z6" s="327">
        <v>0</v>
      </c>
      <c r="AA6" s="327">
        <v>0</v>
      </c>
      <c r="AB6" s="328">
        <f t="shared" ref="AB6:AB29" si="0">D6+J6+P6+V6</f>
        <v>0</v>
      </c>
      <c r="AC6" s="328">
        <f t="shared" ref="AC6:AC29" si="1">G6+M6+S6+Y6</f>
        <v>0</v>
      </c>
      <c r="AD6" s="329">
        <f t="shared" ref="AD6:AD29" si="2">IFERROR(AB6/SUM(AB6:AC6),0)*100</f>
        <v>0</v>
      </c>
      <c r="AE6" s="103">
        <f>SUM(D6:D9)+SUM(J6:J9)+SUM(P6:P9) +SUM(V6:V9)</f>
        <v>0</v>
      </c>
    </row>
    <row r="7" spans="2:31">
      <c r="B7" s="326" t="s">
        <v>173</v>
      </c>
      <c r="C7" s="326" t="s">
        <v>175</v>
      </c>
      <c r="D7" s="327">
        <v>0</v>
      </c>
      <c r="E7" s="327">
        <v>0</v>
      </c>
      <c r="F7" s="327">
        <v>0</v>
      </c>
      <c r="G7" s="327">
        <v>0</v>
      </c>
      <c r="H7" s="327">
        <v>0</v>
      </c>
      <c r="I7" s="327">
        <v>0</v>
      </c>
      <c r="J7" s="327">
        <v>0</v>
      </c>
      <c r="K7" s="327">
        <v>0</v>
      </c>
      <c r="L7" s="327">
        <v>0</v>
      </c>
      <c r="M7" s="327">
        <v>0</v>
      </c>
      <c r="N7" s="327">
        <v>0</v>
      </c>
      <c r="O7" s="327">
        <v>0</v>
      </c>
      <c r="P7" s="327">
        <v>0</v>
      </c>
      <c r="Q7" s="327">
        <v>0</v>
      </c>
      <c r="R7" s="327">
        <v>0</v>
      </c>
      <c r="S7" s="327">
        <v>0</v>
      </c>
      <c r="T7" s="327">
        <v>0</v>
      </c>
      <c r="U7" s="327">
        <v>0</v>
      </c>
      <c r="V7" s="327">
        <v>0</v>
      </c>
      <c r="W7" s="327">
        <v>0</v>
      </c>
      <c r="X7" s="327">
        <v>0</v>
      </c>
      <c r="Y7" s="327">
        <v>0</v>
      </c>
      <c r="Z7" s="327">
        <v>0</v>
      </c>
      <c r="AA7" s="327">
        <v>0</v>
      </c>
      <c r="AB7" s="328">
        <f t="shared" si="0"/>
        <v>0</v>
      </c>
      <c r="AC7" s="328">
        <f t="shared" si="1"/>
        <v>0</v>
      </c>
      <c r="AD7" s="329">
        <f t="shared" si="2"/>
        <v>0</v>
      </c>
      <c r="AE7" s="102"/>
    </row>
    <row r="8" spans="2:31">
      <c r="B8" s="326" t="s">
        <v>173</v>
      </c>
      <c r="C8" s="326" t="s">
        <v>176</v>
      </c>
      <c r="D8" s="327">
        <v>0</v>
      </c>
      <c r="E8" s="327">
        <v>0</v>
      </c>
      <c r="F8" s="327">
        <v>0</v>
      </c>
      <c r="G8" s="327">
        <v>0</v>
      </c>
      <c r="H8" s="327">
        <v>0</v>
      </c>
      <c r="I8" s="327">
        <v>0</v>
      </c>
      <c r="J8" s="327">
        <v>0</v>
      </c>
      <c r="K8" s="327">
        <v>0</v>
      </c>
      <c r="L8" s="327">
        <v>0</v>
      </c>
      <c r="M8" s="327">
        <v>0</v>
      </c>
      <c r="N8" s="327">
        <v>0</v>
      </c>
      <c r="O8" s="327">
        <v>0</v>
      </c>
      <c r="P8" s="327">
        <v>0</v>
      </c>
      <c r="Q8" s="327">
        <v>0</v>
      </c>
      <c r="R8" s="327">
        <v>0</v>
      </c>
      <c r="S8" s="327">
        <v>0</v>
      </c>
      <c r="T8" s="327">
        <v>0</v>
      </c>
      <c r="U8" s="327">
        <v>0</v>
      </c>
      <c r="V8" s="327">
        <v>0</v>
      </c>
      <c r="W8" s="327">
        <v>0</v>
      </c>
      <c r="X8" s="327">
        <v>0</v>
      </c>
      <c r="Y8" s="327">
        <v>0</v>
      </c>
      <c r="Z8" s="327">
        <v>0</v>
      </c>
      <c r="AA8" s="327">
        <v>0</v>
      </c>
      <c r="AB8" s="328">
        <f t="shared" si="0"/>
        <v>0</v>
      </c>
      <c r="AC8" s="328">
        <f t="shared" si="1"/>
        <v>0</v>
      </c>
      <c r="AD8" s="329">
        <f t="shared" si="2"/>
        <v>0</v>
      </c>
      <c r="AE8" s="102"/>
    </row>
    <row r="9" spans="2:31">
      <c r="B9" s="326" t="s">
        <v>173</v>
      </c>
      <c r="C9" s="326" t="s">
        <v>177</v>
      </c>
      <c r="D9" s="327">
        <v>0</v>
      </c>
      <c r="E9" s="327">
        <v>0</v>
      </c>
      <c r="F9" s="327">
        <v>0</v>
      </c>
      <c r="G9" s="327">
        <v>0</v>
      </c>
      <c r="H9" s="327">
        <v>0</v>
      </c>
      <c r="I9" s="327">
        <v>0</v>
      </c>
      <c r="J9" s="327">
        <v>0</v>
      </c>
      <c r="K9" s="327">
        <v>0</v>
      </c>
      <c r="L9" s="327">
        <v>0</v>
      </c>
      <c r="M9" s="327">
        <v>0</v>
      </c>
      <c r="N9" s="327">
        <v>0</v>
      </c>
      <c r="O9" s="327">
        <v>0</v>
      </c>
      <c r="P9" s="327">
        <v>0</v>
      </c>
      <c r="Q9" s="327">
        <v>0</v>
      </c>
      <c r="R9" s="327">
        <v>0</v>
      </c>
      <c r="S9" s="327">
        <v>0</v>
      </c>
      <c r="T9" s="327">
        <v>0</v>
      </c>
      <c r="U9" s="327">
        <v>0</v>
      </c>
      <c r="V9" s="327">
        <v>0</v>
      </c>
      <c r="W9" s="327">
        <v>0</v>
      </c>
      <c r="X9" s="327">
        <v>0</v>
      </c>
      <c r="Y9" s="327">
        <v>0</v>
      </c>
      <c r="Z9" s="327">
        <v>0</v>
      </c>
      <c r="AA9" s="327">
        <v>0</v>
      </c>
      <c r="AB9" s="328">
        <f t="shared" si="0"/>
        <v>0</v>
      </c>
      <c r="AC9" s="328">
        <f t="shared" si="1"/>
        <v>0</v>
      </c>
      <c r="AD9" s="329">
        <f t="shared" si="2"/>
        <v>0</v>
      </c>
      <c r="AE9" s="101"/>
    </row>
    <row r="10" spans="2:31">
      <c r="B10" s="326" t="s">
        <v>178</v>
      </c>
      <c r="C10" s="326" t="s">
        <v>174</v>
      </c>
      <c r="D10" s="327">
        <v>0</v>
      </c>
      <c r="E10" s="327">
        <v>0</v>
      </c>
      <c r="F10" s="327">
        <v>0</v>
      </c>
      <c r="G10" s="327">
        <v>0</v>
      </c>
      <c r="H10" s="327">
        <v>0</v>
      </c>
      <c r="I10" s="327">
        <v>0</v>
      </c>
      <c r="J10" s="327">
        <v>0</v>
      </c>
      <c r="K10" s="327">
        <v>0</v>
      </c>
      <c r="L10" s="327">
        <v>0</v>
      </c>
      <c r="M10" s="327">
        <v>0</v>
      </c>
      <c r="N10" s="327">
        <v>0</v>
      </c>
      <c r="O10" s="327">
        <v>0</v>
      </c>
      <c r="P10" s="327">
        <v>0</v>
      </c>
      <c r="Q10" s="327">
        <v>0</v>
      </c>
      <c r="R10" s="327">
        <v>0</v>
      </c>
      <c r="S10" s="327">
        <v>0</v>
      </c>
      <c r="T10" s="327">
        <v>0</v>
      </c>
      <c r="U10" s="327">
        <v>0</v>
      </c>
      <c r="V10" s="327">
        <v>0</v>
      </c>
      <c r="W10" s="327">
        <v>0</v>
      </c>
      <c r="X10" s="327">
        <v>0</v>
      </c>
      <c r="Y10" s="327">
        <v>0</v>
      </c>
      <c r="Z10" s="327">
        <v>0</v>
      </c>
      <c r="AA10" s="327">
        <v>0</v>
      </c>
      <c r="AB10" s="328">
        <f t="shared" si="0"/>
        <v>0</v>
      </c>
      <c r="AC10" s="328">
        <f t="shared" si="1"/>
        <v>0</v>
      </c>
      <c r="AD10" s="329">
        <f t="shared" si="2"/>
        <v>0</v>
      </c>
      <c r="AE10" s="103">
        <f>SUM(D10:D13)+SUM(J10:J13)+SUM(P10:P13) +SUM(V10:V13)</f>
        <v>0</v>
      </c>
    </row>
    <row r="11" spans="2:31">
      <c r="B11" s="326" t="s">
        <v>178</v>
      </c>
      <c r="C11" s="326" t="s">
        <v>175</v>
      </c>
      <c r="D11" s="327">
        <v>0</v>
      </c>
      <c r="E11" s="327">
        <v>0</v>
      </c>
      <c r="F11" s="327">
        <v>0</v>
      </c>
      <c r="G11" s="327">
        <v>0</v>
      </c>
      <c r="H11" s="327">
        <v>0</v>
      </c>
      <c r="I11" s="327">
        <v>0</v>
      </c>
      <c r="J11" s="327">
        <v>0</v>
      </c>
      <c r="K11" s="327">
        <v>0</v>
      </c>
      <c r="L11" s="327">
        <v>0</v>
      </c>
      <c r="M11" s="327">
        <v>0</v>
      </c>
      <c r="N11" s="327">
        <v>0</v>
      </c>
      <c r="O11" s="327">
        <v>0</v>
      </c>
      <c r="P11" s="327">
        <v>0</v>
      </c>
      <c r="Q11" s="327">
        <v>0</v>
      </c>
      <c r="R11" s="327">
        <v>0</v>
      </c>
      <c r="S11" s="327">
        <v>0</v>
      </c>
      <c r="T11" s="327">
        <v>0</v>
      </c>
      <c r="U11" s="327">
        <v>0</v>
      </c>
      <c r="V11" s="327">
        <v>0</v>
      </c>
      <c r="W11" s="327">
        <v>0</v>
      </c>
      <c r="X11" s="327">
        <v>0</v>
      </c>
      <c r="Y11" s="327">
        <v>0</v>
      </c>
      <c r="Z11" s="327">
        <v>0</v>
      </c>
      <c r="AA11" s="327">
        <v>0</v>
      </c>
      <c r="AB11" s="328">
        <f t="shared" si="0"/>
        <v>0</v>
      </c>
      <c r="AC11" s="328">
        <f t="shared" si="1"/>
        <v>0</v>
      </c>
      <c r="AD11" s="329">
        <f t="shared" si="2"/>
        <v>0</v>
      </c>
      <c r="AE11" s="102"/>
    </row>
    <row r="12" spans="2:31">
      <c r="B12" s="326" t="s">
        <v>178</v>
      </c>
      <c r="C12" s="326" t="s">
        <v>176</v>
      </c>
      <c r="D12" s="327">
        <v>0</v>
      </c>
      <c r="E12" s="327">
        <v>0</v>
      </c>
      <c r="F12" s="327">
        <v>0</v>
      </c>
      <c r="G12" s="327">
        <v>0</v>
      </c>
      <c r="H12" s="327">
        <v>0</v>
      </c>
      <c r="I12" s="327">
        <v>0</v>
      </c>
      <c r="J12" s="327">
        <v>0</v>
      </c>
      <c r="K12" s="327">
        <v>0</v>
      </c>
      <c r="L12" s="327">
        <v>0</v>
      </c>
      <c r="M12" s="327">
        <v>0</v>
      </c>
      <c r="N12" s="327">
        <v>0</v>
      </c>
      <c r="O12" s="327">
        <v>0</v>
      </c>
      <c r="P12" s="327">
        <v>0</v>
      </c>
      <c r="Q12" s="327">
        <v>0</v>
      </c>
      <c r="R12" s="327">
        <v>0</v>
      </c>
      <c r="S12" s="327">
        <v>0</v>
      </c>
      <c r="T12" s="327">
        <v>0</v>
      </c>
      <c r="U12" s="327">
        <v>0</v>
      </c>
      <c r="V12" s="327">
        <v>0</v>
      </c>
      <c r="W12" s="327">
        <v>0</v>
      </c>
      <c r="X12" s="327">
        <v>0</v>
      </c>
      <c r="Y12" s="327">
        <v>0</v>
      </c>
      <c r="Z12" s="327">
        <v>0</v>
      </c>
      <c r="AA12" s="327">
        <v>0</v>
      </c>
      <c r="AB12" s="328">
        <f t="shared" si="0"/>
        <v>0</v>
      </c>
      <c r="AC12" s="328">
        <f t="shared" si="1"/>
        <v>0</v>
      </c>
      <c r="AD12" s="329">
        <f t="shared" si="2"/>
        <v>0</v>
      </c>
      <c r="AE12" s="102"/>
    </row>
    <row r="13" spans="2:31">
      <c r="B13" s="326" t="s">
        <v>178</v>
      </c>
      <c r="C13" s="326" t="s">
        <v>177</v>
      </c>
      <c r="D13" s="327">
        <v>0</v>
      </c>
      <c r="E13" s="327">
        <v>0</v>
      </c>
      <c r="F13" s="327">
        <v>0</v>
      </c>
      <c r="G13" s="327">
        <v>0</v>
      </c>
      <c r="H13" s="327">
        <v>0</v>
      </c>
      <c r="I13" s="327">
        <v>0</v>
      </c>
      <c r="J13" s="327">
        <v>0</v>
      </c>
      <c r="K13" s="327">
        <v>0</v>
      </c>
      <c r="L13" s="327">
        <v>0</v>
      </c>
      <c r="M13" s="327">
        <v>0</v>
      </c>
      <c r="N13" s="327">
        <v>0</v>
      </c>
      <c r="O13" s="327">
        <v>0</v>
      </c>
      <c r="P13" s="327">
        <v>0</v>
      </c>
      <c r="Q13" s="327">
        <v>0</v>
      </c>
      <c r="R13" s="327">
        <v>0</v>
      </c>
      <c r="S13" s="327">
        <v>0</v>
      </c>
      <c r="T13" s="327">
        <v>0</v>
      </c>
      <c r="U13" s="327">
        <v>0</v>
      </c>
      <c r="V13" s="327">
        <v>0</v>
      </c>
      <c r="W13" s="327">
        <v>0</v>
      </c>
      <c r="X13" s="327">
        <v>0</v>
      </c>
      <c r="Y13" s="327">
        <v>0</v>
      </c>
      <c r="Z13" s="327">
        <v>0</v>
      </c>
      <c r="AA13" s="327">
        <v>0</v>
      </c>
      <c r="AB13" s="328">
        <f t="shared" si="0"/>
        <v>0</v>
      </c>
      <c r="AC13" s="328">
        <f t="shared" si="1"/>
        <v>0</v>
      </c>
      <c r="AD13" s="329">
        <f t="shared" si="2"/>
        <v>0</v>
      </c>
      <c r="AE13" s="101"/>
    </row>
    <row r="14" spans="2:31">
      <c r="B14" s="326" t="s">
        <v>179</v>
      </c>
      <c r="C14" s="326" t="s">
        <v>174</v>
      </c>
      <c r="D14" s="327">
        <v>0</v>
      </c>
      <c r="E14" s="327">
        <v>0</v>
      </c>
      <c r="F14" s="327">
        <v>0</v>
      </c>
      <c r="G14" s="327">
        <v>0</v>
      </c>
      <c r="H14" s="327">
        <v>0</v>
      </c>
      <c r="I14" s="327">
        <v>0</v>
      </c>
      <c r="J14" s="327">
        <v>0</v>
      </c>
      <c r="K14" s="327">
        <v>0</v>
      </c>
      <c r="L14" s="327">
        <v>0</v>
      </c>
      <c r="M14" s="327">
        <v>0</v>
      </c>
      <c r="N14" s="327">
        <v>0</v>
      </c>
      <c r="O14" s="327">
        <v>0</v>
      </c>
      <c r="P14" s="327">
        <v>0</v>
      </c>
      <c r="Q14" s="327">
        <v>0</v>
      </c>
      <c r="R14" s="327">
        <v>0</v>
      </c>
      <c r="S14" s="327">
        <v>0</v>
      </c>
      <c r="T14" s="327">
        <v>0</v>
      </c>
      <c r="U14" s="327">
        <v>0</v>
      </c>
      <c r="V14" s="327">
        <v>0</v>
      </c>
      <c r="W14" s="327">
        <v>0</v>
      </c>
      <c r="X14" s="327">
        <v>0</v>
      </c>
      <c r="Y14" s="327">
        <v>0</v>
      </c>
      <c r="Z14" s="327">
        <v>0</v>
      </c>
      <c r="AA14" s="327">
        <v>0</v>
      </c>
      <c r="AB14" s="328">
        <f t="shared" si="0"/>
        <v>0</v>
      </c>
      <c r="AC14" s="328">
        <f t="shared" si="1"/>
        <v>0</v>
      </c>
      <c r="AD14" s="329">
        <f t="shared" si="2"/>
        <v>0</v>
      </c>
      <c r="AE14" s="103">
        <f>SUM(D14:D17)+SUM(J14:J17)+SUM(P14:P17) +SUM(V14:V17)</f>
        <v>0</v>
      </c>
    </row>
    <row r="15" spans="2:31">
      <c r="B15" s="326" t="s">
        <v>179</v>
      </c>
      <c r="C15" s="326" t="s">
        <v>175</v>
      </c>
      <c r="D15" s="327">
        <v>0</v>
      </c>
      <c r="E15" s="327">
        <v>0</v>
      </c>
      <c r="F15" s="327">
        <v>0</v>
      </c>
      <c r="G15" s="327">
        <v>0</v>
      </c>
      <c r="H15" s="327">
        <v>0</v>
      </c>
      <c r="I15" s="327">
        <v>0</v>
      </c>
      <c r="J15" s="327">
        <v>0</v>
      </c>
      <c r="K15" s="327">
        <v>0</v>
      </c>
      <c r="L15" s="327">
        <v>0</v>
      </c>
      <c r="M15" s="327">
        <v>0</v>
      </c>
      <c r="N15" s="327">
        <v>0</v>
      </c>
      <c r="O15" s="327">
        <v>0</v>
      </c>
      <c r="P15" s="327">
        <v>0</v>
      </c>
      <c r="Q15" s="327">
        <v>0</v>
      </c>
      <c r="R15" s="327">
        <v>0</v>
      </c>
      <c r="S15" s="327">
        <v>0</v>
      </c>
      <c r="T15" s="327">
        <v>0</v>
      </c>
      <c r="U15" s="327">
        <v>0</v>
      </c>
      <c r="V15" s="327">
        <v>0</v>
      </c>
      <c r="W15" s="327">
        <v>0</v>
      </c>
      <c r="X15" s="327">
        <v>0</v>
      </c>
      <c r="Y15" s="327">
        <v>0</v>
      </c>
      <c r="Z15" s="327">
        <v>0</v>
      </c>
      <c r="AA15" s="327">
        <v>0</v>
      </c>
      <c r="AB15" s="328">
        <f t="shared" si="0"/>
        <v>0</v>
      </c>
      <c r="AC15" s="328">
        <f t="shared" si="1"/>
        <v>0</v>
      </c>
      <c r="AD15" s="329">
        <f t="shared" si="2"/>
        <v>0</v>
      </c>
      <c r="AE15" s="102"/>
    </row>
    <row r="16" spans="2:31">
      <c r="B16" s="326" t="s">
        <v>179</v>
      </c>
      <c r="C16" s="326" t="s">
        <v>176</v>
      </c>
      <c r="D16" s="327">
        <v>0</v>
      </c>
      <c r="E16" s="327">
        <v>0</v>
      </c>
      <c r="F16" s="327">
        <v>0</v>
      </c>
      <c r="G16" s="327">
        <v>0</v>
      </c>
      <c r="H16" s="327">
        <v>0</v>
      </c>
      <c r="I16" s="327">
        <v>0</v>
      </c>
      <c r="J16" s="327">
        <v>0</v>
      </c>
      <c r="K16" s="327">
        <v>0</v>
      </c>
      <c r="L16" s="327">
        <v>0</v>
      </c>
      <c r="M16" s="327">
        <v>0</v>
      </c>
      <c r="N16" s="327">
        <v>0</v>
      </c>
      <c r="O16" s="327">
        <v>0</v>
      </c>
      <c r="P16" s="327">
        <v>0</v>
      </c>
      <c r="Q16" s="327">
        <v>0</v>
      </c>
      <c r="R16" s="327">
        <v>0</v>
      </c>
      <c r="S16" s="327">
        <v>0</v>
      </c>
      <c r="T16" s="327">
        <v>0</v>
      </c>
      <c r="U16" s="327">
        <v>0</v>
      </c>
      <c r="V16" s="327">
        <v>0</v>
      </c>
      <c r="W16" s="327">
        <v>0</v>
      </c>
      <c r="X16" s="327">
        <v>0</v>
      </c>
      <c r="Y16" s="327">
        <v>0</v>
      </c>
      <c r="Z16" s="327">
        <v>0</v>
      </c>
      <c r="AA16" s="327">
        <v>0</v>
      </c>
      <c r="AB16" s="328">
        <f t="shared" si="0"/>
        <v>0</v>
      </c>
      <c r="AC16" s="328">
        <f t="shared" si="1"/>
        <v>0</v>
      </c>
      <c r="AD16" s="329">
        <f t="shared" si="2"/>
        <v>0</v>
      </c>
      <c r="AE16" s="102"/>
    </row>
    <row r="17" spans="2:31">
      <c r="B17" s="326" t="s">
        <v>179</v>
      </c>
      <c r="C17" s="326" t="s">
        <v>177</v>
      </c>
      <c r="D17" s="327">
        <v>0</v>
      </c>
      <c r="E17" s="327">
        <v>0</v>
      </c>
      <c r="F17" s="327">
        <v>0</v>
      </c>
      <c r="G17" s="327">
        <v>0</v>
      </c>
      <c r="H17" s="327">
        <v>0</v>
      </c>
      <c r="I17" s="327">
        <v>0</v>
      </c>
      <c r="J17" s="327">
        <v>0</v>
      </c>
      <c r="K17" s="327">
        <v>0</v>
      </c>
      <c r="L17" s="327">
        <v>0</v>
      </c>
      <c r="M17" s="327">
        <v>0</v>
      </c>
      <c r="N17" s="327">
        <v>0</v>
      </c>
      <c r="O17" s="327">
        <v>0</v>
      </c>
      <c r="P17" s="327">
        <v>0</v>
      </c>
      <c r="Q17" s="327">
        <v>0</v>
      </c>
      <c r="R17" s="327">
        <v>0</v>
      </c>
      <c r="S17" s="327">
        <v>0</v>
      </c>
      <c r="T17" s="327">
        <v>0</v>
      </c>
      <c r="U17" s="327">
        <v>0</v>
      </c>
      <c r="V17" s="327">
        <v>0</v>
      </c>
      <c r="W17" s="327">
        <v>0</v>
      </c>
      <c r="X17" s="327">
        <v>0</v>
      </c>
      <c r="Y17" s="327">
        <v>0</v>
      </c>
      <c r="Z17" s="327">
        <v>0</v>
      </c>
      <c r="AA17" s="327">
        <v>0</v>
      </c>
      <c r="AB17" s="328">
        <f t="shared" si="0"/>
        <v>0</v>
      </c>
      <c r="AC17" s="328">
        <f t="shared" si="1"/>
        <v>0</v>
      </c>
      <c r="AD17" s="329">
        <f t="shared" si="2"/>
        <v>0</v>
      </c>
      <c r="AE17" s="101"/>
    </row>
    <row r="18" spans="2:31">
      <c r="B18" s="326" t="s">
        <v>180</v>
      </c>
      <c r="C18" s="326" t="s">
        <v>174</v>
      </c>
      <c r="D18" s="327">
        <v>0</v>
      </c>
      <c r="E18" s="327">
        <v>0</v>
      </c>
      <c r="F18" s="327">
        <v>0</v>
      </c>
      <c r="G18" s="327">
        <v>0</v>
      </c>
      <c r="H18" s="327">
        <v>0</v>
      </c>
      <c r="I18" s="327">
        <v>0</v>
      </c>
      <c r="J18" s="327">
        <v>0</v>
      </c>
      <c r="K18" s="327">
        <v>0</v>
      </c>
      <c r="L18" s="327">
        <v>0</v>
      </c>
      <c r="M18" s="327">
        <v>0</v>
      </c>
      <c r="N18" s="327">
        <v>0</v>
      </c>
      <c r="O18" s="327">
        <v>0</v>
      </c>
      <c r="P18" s="327">
        <v>0</v>
      </c>
      <c r="Q18" s="327">
        <v>0</v>
      </c>
      <c r="R18" s="327">
        <v>0</v>
      </c>
      <c r="S18" s="327">
        <v>0</v>
      </c>
      <c r="T18" s="327">
        <v>0</v>
      </c>
      <c r="U18" s="327">
        <v>0</v>
      </c>
      <c r="V18" s="327">
        <v>0</v>
      </c>
      <c r="W18" s="327">
        <v>0</v>
      </c>
      <c r="X18" s="327">
        <v>0</v>
      </c>
      <c r="Y18" s="327">
        <v>0</v>
      </c>
      <c r="Z18" s="327">
        <v>0</v>
      </c>
      <c r="AA18" s="327">
        <v>0</v>
      </c>
      <c r="AB18" s="328">
        <f t="shared" si="0"/>
        <v>0</v>
      </c>
      <c r="AC18" s="328">
        <f t="shared" si="1"/>
        <v>0</v>
      </c>
      <c r="AD18" s="329">
        <f t="shared" si="2"/>
        <v>0</v>
      </c>
      <c r="AE18" s="103">
        <f>SUM(D18:D21)+SUM(J18:J21)+SUM(P18:P21) +SUM(V18:V21)</f>
        <v>0</v>
      </c>
    </row>
    <row r="19" spans="2:31">
      <c r="B19" s="326" t="s">
        <v>180</v>
      </c>
      <c r="C19" s="326" t="s">
        <v>175</v>
      </c>
      <c r="D19" s="327">
        <v>0</v>
      </c>
      <c r="E19" s="327">
        <v>0</v>
      </c>
      <c r="F19" s="327">
        <v>0</v>
      </c>
      <c r="G19" s="327">
        <v>0</v>
      </c>
      <c r="H19" s="327">
        <v>0</v>
      </c>
      <c r="I19" s="327">
        <v>0</v>
      </c>
      <c r="J19" s="327">
        <v>0</v>
      </c>
      <c r="K19" s="327">
        <v>0</v>
      </c>
      <c r="L19" s="327">
        <v>0</v>
      </c>
      <c r="M19" s="327">
        <v>0</v>
      </c>
      <c r="N19" s="327">
        <v>0</v>
      </c>
      <c r="O19" s="327">
        <v>0</v>
      </c>
      <c r="P19" s="327">
        <v>0</v>
      </c>
      <c r="Q19" s="327">
        <v>0</v>
      </c>
      <c r="R19" s="327">
        <v>0</v>
      </c>
      <c r="S19" s="327">
        <v>0</v>
      </c>
      <c r="T19" s="327">
        <v>0</v>
      </c>
      <c r="U19" s="327">
        <v>0</v>
      </c>
      <c r="V19" s="327">
        <v>0</v>
      </c>
      <c r="W19" s="327">
        <v>0</v>
      </c>
      <c r="X19" s="327">
        <v>0</v>
      </c>
      <c r="Y19" s="327">
        <v>0</v>
      </c>
      <c r="Z19" s="327">
        <v>0</v>
      </c>
      <c r="AA19" s="327">
        <v>0</v>
      </c>
      <c r="AB19" s="328">
        <f t="shared" si="0"/>
        <v>0</v>
      </c>
      <c r="AC19" s="328">
        <f t="shared" si="1"/>
        <v>0</v>
      </c>
      <c r="AD19" s="329">
        <f t="shared" si="2"/>
        <v>0</v>
      </c>
      <c r="AE19" s="102"/>
    </row>
    <row r="20" spans="2:31">
      <c r="B20" s="326" t="s">
        <v>180</v>
      </c>
      <c r="C20" s="326" t="s">
        <v>176</v>
      </c>
      <c r="D20" s="327">
        <v>0</v>
      </c>
      <c r="E20" s="327">
        <v>0</v>
      </c>
      <c r="F20" s="327">
        <v>0</v>
      </c>
      <c r="G20" s="327">
        <v>0</v>
      </c>
      <c r="H20" s="327">
        <v>0</v>
      </c>
      <c r="I20" s="327">
        <v>0</v>
      </c>
      <c r="J20" s="327">
        <v>0</v>
      </c>
      <c r="K20" s="327">
        <v>0</v>
      </c>
      <c r="L20" s="327">
        <v>0</v>
      </c>
      <c r="M20" s="327">
        <v>0</v>
      </c>
      <c r="N20" s="327">
        <v>0</v>
      </c>
      <c r="O20" s="327">
        <v>0</v>
      </c>
      <c r="P20" s="327">
        <v>0</v>
      </c>
      <c r="Q20" s="327">
        <v>0</v>
      </c>
      <c r="R20" s="327">
        <v>0</v>
      </c>
      <c r="S20" s="327">
        <v>0</v>
      </c>
      <c r="T20" s="327">
        <v>0</v>
      </c>
      <c r="U20" s="327">
        <v>0</v>
      </c>
      <c r="V20" s="327">
        <v>0</v>
      </c>
      <c r="W20" s="327">
        <v>0</v>
      </c>
      <c r="X20" s="327">
        <v>0</v>
      </c>
      <c r="Y20" s="327">
        <v>0</v>
      </c>
      <c r="Z20" s="327">
        <v>0</v>
      </c>
      <c r="AA20" s="327">
        <v>0</v>
      </c>
      <c r="AB20" s="328">
        <f t="shared" si="0"/>
        <v>0</v>
      </c>
      <c r="AC20" s="328">
        <f t="shared" si="1"/>
        <v>0</v>
      </c>
      <c r="AD20" s="329">
        <f t="shared" si="2"/>
        <v>0</v>
      </c>
      <c r="AE20" s="102"/>
    </row>
    <row r="21" spans="2:31">
      <c r="B21" s="326" t="s">
        <v>180</v>
      </c>
      <c r="C21" s="326" t="s">
        <v>177</v>
      </c>
      <c r="D21" s="327">
        <v>0</v>
      </c>
      <c r="E21" s="327">
        <v>0</v>
      </c>
      <c r="F21" s="327">
        <v>0</v>
      </c>
      <c r="G21" s="327">
        <v>0</v>
      </c>
      <c r="H21" s="327">
        <v>0</v>
      </c>
      <c r="I21" s="327">
        <v>0</v>
      </c>
      <c r="J21" s="327">
        <v>0</v>
      </c>
      <c r="K21" s="327">
        <v>0</v>
      </c>
      <c r="L21" s="327">
        <v>0</v>
      </c>
      <c r="M21" s="327">
        <v>0</v>
      </c>
      <c r="N21" s="327">
        <v>0</v>
      </c>
      <c r="O21" s="327">
        <v>0</v>
      </c>
      <c r="P21" s="327">
        <v>0</v>
      </c>
      <c r="Q21" s="327">
        <v>0</v>
      </c>
      <c r="R21" s="327">
        <v>0</v>
      </c>
      <c r="S21" s="327">
        <v>0</v>
      </c>
      <c r="T21" s="327">
        <v>0</v>
      </c>
      <c r="U21" s="327">
        <v>0</v>
      </c>
      <c r="V21" s="327">
        <v>0</v>
      </c>
      <c r="W21" s="327">
        <v>0</v>
      </c>
      <c r="X21" s="327">
        <v>0</v>
      </c>
      <c r="Y21" s="327">
        <v>0</v>
      </c>
      <c r="Z21" s="327">
        <v>0</v>
      </c>
      <c r="AA21" s="327">
        <v>0</v>
      </c>
      <c r="AB21" s="328">
        <f t="shared" si="0"/>
        <v>0</v>
      </c>
      <c r="AC21" s="328">
        <f t="shared" si="1"/>
        <v>0</v>
      </c>
      <c r="AD21" s="329">
        <f t="shared" si="2"/>
        <v>0</v>
      </c>
      <c r="AE21" s="101"/>
    </row>
    <row r="22" spans="2:31">
      <c r="B22" s="326" t="s">
        <v>181</v>
      </c>
      <c r="C22" s="326" t="s">
        <v>174</v>
      </c>
      <c r="D22" s="327">
        <v>0</v>
      </c>
      <c r="E22" s="327">
        <v>0</v>
      </c>
      <c r="F22" s="327">
        <v>0</v>
      </c>
      <c r="G22" s="327">
        <v>0</v>
      </c>
      <c r="H22" s="327">
        <v>0</v>
      </c>
      <c r="I22" s="327">
        <v>0</v>
      </c>
      <c r="J22" s="327">
        <v>0</v>
      </c>
      <c r="K22" s="327">
        <v>0</v>
      </c>
      <c r="L22" s="327">
        <v>0</v>
      </c>
      <c r="M22" s="327">
        <v>0</v>
      </c>
      <c r="N22" s="327">
        <v>0</v>
      </c>
      <c r="O22" s="327">
        <v>0</v>
      </c>
      <c r="P22" s="327">
        <v>0</v>
      </c>
      <c r="Q22" s="327">
        <v>0</v>
      </c>
      <c r="R22" s="327">
        <v>0</v>
      </c>
      <c r="S22" s="327">
        <v>0</v>
      </c>
      <c r="T22" s="327">
        <v>0</v>
      </c>
      <c r="U22" s="327">
        <v>0</v>
      </c>
      <c r="V22" s="327">
        <v>0</v>
      </c>
      <c r="W22" s="327">
        <v>0</v>
      </c>
      <c r="X22" s="327">
        <v>0</v>
      </c>
      <c r="Y22" s="327">
        <v>0</v>
      </c>
      <c r="Z22" s="327">
        <v>0</v>
      </c>
      <c r="AA22" s="327">
        <v>0</v>
      </c>
      <c r="AB22" s="328">
        <f t="shared" si="0"/>
        <v>0</v>
      </c>
      <c r="AC22" s="328">
        <f t="shared" si="1"/>
        <v>0</v>
      </c>
      <c r="AD22" s="329">
        <f t="shared" si="2"/>
        <v>0</v>
      </c>
      <c r="AE22" s="103">
        <f>SUM(D22:D25)+SUM(J22:J25)+SUM(P22:P25) +SUM(V22:V25)</f>
        <v>0</v>
      </c>
    </row>
    <row r="23" spans="2:31">
      <c r="B23" s="326" t="s">
        <v>181</v>
      </c>
      <c r="C23" s="326" t="s">
        <v>175</v>
      </c>
      <c r="D23" s="327">
        <v>0</v>
      </c>
      <c r="E23" s="327">
        <v>0</v>
      </c>
      <c r="F23" s="327">
        <v>0</v>
      </c>
      <c r="G23" s="327">
        <v>0</v>
      </c>
      <c r="H23" s="327">
        <v>0</v>
      </c>
      <c r="I23" s="327">
        <v>0</v>
      </c>
      <c r="J23" s="327">
        <v>0</v>
      </c>
      <c r="K23" s="327">
        <v>0</v>
      </c>
      <c r="L23" s="327">
        <v>0</v>
      </c>
      <c r="M23" s="327">
        <v>0</v>
      </c>
      <c r="N23" s="327">
        <v>0</v>
      </c>
      <c r="O23" s="327">
        <v>0</v>
      </c>
      <c r="P23" s="327">
        <v>0</v>
      </c>
      <c r="Q23" s="327">
        <v>0</v>
      </c>
      <c r="R23" s="327">
        <v>0</v>
      </c>
      <c r="S23" s="327">
        <v>0</v>
      </c>
      <c r="T23" s="327">
        <v>0</v>
      </c>
      <c r="U23" s="327">
        <v>0</v>
      </c>
      <c r="V23" s="327">
        <v>0</v>
      </c>
      <c r="W23" s="327">
        <v>0</v>
      </c>
      <c r="X23" s="327">
        <v>0</v>
      </c>
      <c r="Y23" s="327">
        <v>0</v>
      </c>
      <c r="Z23" s="327">
        <v>0</v>
      </c>
      <c r="AA23" s="327">
        <v>0</v>
      </c>
      <c r="AB23" s="328">
        <f t="shared" si="0"/>
        <v>0</v>
      </c>
      <c r="AC23" s="328">
        <f t="shared" si="1"/>
        <v>0</v>
      </c>
      <c r="AD23" s="329">
        <f t="shared" si="2"/>
        <v>0</v>
      </c>
      <c r="AE23" s="102"/>
    </row>
    <row r="24" spans="2:31">
      <c r="B24" s="326" t="s">
        <v>181</v>
      </c>
      <c r="C24" s="326" t="s">
        <v>176</v>
      </c>
      <c r="D24" s="327">
        <v>0</v>
      </c>
      <c r="E24" s="327">
        <v>0</v>
      </c>
      <c r="F24" s="327">
        <v>0</v>
      </c>
      <c r="G24" s="327">
        <v>0</v>
      </c>
      <c r="H24" s="327">
        <v>0</v>
      </c>
      <c r="I24" s="327">
        <v>0</v>
      </c>
      <c r="J24" s="327">
        <v>0</v>
      </c>
      <c r="K24" s="327">
        <v>0</v>
      </c>
      <c r="L24" s="327">
        <v>0</v>
      </c>
      <c r="M24" s="327">
        <v>0</v>
      </c>
      <c r="N24" s="327">
        <v>0</v>
      </c>
      <c r="O24" s="327">
        <v>0</v>
      </c>
      <c r="P24" s="327">
        <v>0</v>
      </c>
      <c r="Q24" s="327">
        <v>0</v>
      </c>
      <c r="R24" s="327">
        <v>0</v>
      </c>
      <c r="S24" s="327">
        <v>0</v>
      </c>
      <c r="T24" s="327">
        <v>0</v>
      </c>
      <c r="U24" s="327">
        <v>0</v>
      </c>
      <c r="V24" s="327">
        <v>0</v>
      </c>
      <c r="W24" s="327">
        <v>0</v>
      </c>
      <c r="X24" s="327">
        <v>0</v>
      </c>
      <c r="Y24" s="327">
        <v>0</v>
      </c>
      <c r="Z24" s="327">
        <v>0</v>
      </c>
      <c r="AA24" s="327">
        <v>0</v>
      </c>
      <c r="AB24" s="328">
        <f t="shared" si="0"/>
        <v>0</v>
      </c>
      <c r="AC24" s="328">
        <f t="shared" si="1"/>
        <v>0</v>
      </c>
      <c r="AD24" s="329">
        <f t="shared" si="2"/>
        <v>0</v>
      </c>
      <c r="AE24" s="102"/>
    </row>
    <row r="25" spans="2:31">
      <c r="B25" s="326" t="s">
        <v>181</v>
      </c>
      <c r="C25" s="326" t="s">
        <v>177</v>
      </c>
      <c r="D25" s="327">
        <v>0</v>
      </c>
      <c r="E25" s="327">
        <v>0</v>
      </c>
      <c r="F25" s="327">
        <v>0</v>
      </c>
      <c r="G25" s="327">
        <v>0</v>
      </c>
      <c r="H25" s="327">
        <v>0</v>
      </c>
      <c r="I25" s="327">
        <v>0</v>
      </c>
      <c r="J25" s="327">
        <v>0</v>
      </c>
      <c r="K25" s="327">
        <v>0</v>
      </c>
      <c r="L25" s="327">
        <v>0</v>
      </c>
      <c r="M25" s="327">
        <v>0</v>
      </c>
      <c r="N25" s="327">
        <v>0</v>
      </c>
      <c r="O25" s="327">
        <v>0</v>
      </c>
      <c r="P25" s="327">
        <v>0</v>
      </c>
      <c r="Q25" s="327">
        <v>0</v>
      </c>
      <c r="R25" s="327">
        <v>0</v>
      </c>
      <c r="S25" s="327">
        <v>0</v>
      </c>
      <c r="T25" s="327">
        <v>0</v>
      </c>
      <c r="U25" s="327">
        <v>0</v>
      </c>
      <c r="V25" s="327">
        <v>0</v>
      </c>
      <c r="W25" s="327">
        <v>0</v>
      </c>
      <c r="X25" s="327">
        <v>0</v>
      </c>
      <c r="Y25" s="327">
        <v>0</v>
      </c>
      <c r="Z25" s="327">
        <v>0</v>
      </c>
      <c r="AA25" s="327">
        <v>0</v>
      </c>
      <c r="AB25" s="328">
        <f t="shared" si="0"/>
        <v>0</v>
      </c>
      <c r="AC25" s="328">
        <f t="shared" si="1"/>
        <v>0</v>
      </c>
      <c r="AD25" s="329">
        <f t="shared" si="2"/>
        <v>0</v>
      </c>
      <c r="AE25" s="101"/>
    </row>
    <row r="26" spans="2:31">
      <c r="B26" s="326" t="s">
        <v>182</v>
      </c>
      <c r="C26" s="326" t="s">
        <v>174</v>
      </c>
      <c r="D26" s="327">
        <v>0</v>
      </c>
      <c r="E26" s="327">
        <v>0</v>
      </c>
      <c r="F26" s="327">
        <v>0</v>
      </c>
      <c r="G26" s="327">
        <v>0</v>
      </c>
      <c r="H26" s="327">
        <v>0</v>
      </c>
      <c r="I26" s="327">
        <v>0</v>
      </c>
      <c r="J26" s="327">
        <v>0</v>
      </c>
      <c r="K26" s="327">
        <v>0</v>
      </c>
      <c r="L26" s="327">
        <v>0</v>
      </c>
      <c r="M26" s="327">
        <v>0</v>
      </c>
      <c r="N26" s="327">
        <v>0</v>
      </c>
      <c r="O26" s="327">
        <v>0</v>
      </c>
      <c r="P26" s="327">
        <v>0</v>
      </c>
      <c r="Q26" s="327">
        <v>0</v>
      </c>
      <c r="R26" s="327">
        <v>0</v>
      </c>
      <c r="S26" s="327">
        <v>0</v>
      </c>
      <c r="T26" s="327">
        <v>0</v>
      </c>
      <c r="U26" s="327">
        <v>0</v>
      </c>
      <c r="V26" s="327">
        <v>0</v>
      </c>
      <c r="W26" s="327">
        <v>0</v>
      </c>
      <c r="X26" s="327">
        <v>0</v>
      </c>
      <c r="Y26" s="327">
        <v>0</v>
      </c>
      <c r="Z26" s="327">
        <v>0</v>
      </c>
      <c r="AA26" s="327">
        <v>0</v>
      </c>
      <c r="AB26" s="328">
        <f t="shared" si="0"/>
        <v>0</v>
      </c>
      <c r="AC26" s="328">
        <f t="shared" si="1"/>
        <v>0</v>
      </c>
      <c r="AD26" s="329">
        <f t="shared" si="2"/>
        <v>0</v>
      </c>
      <c r="AE26" s="103">
        <f>SUM(D26:D29)+SUM(J26:J29)+SUM(P26:P29) +SUM(V26:V29)</f>
        <v>0</v>
      </c>
    </row>
    <row r="27" spans="2:31">
      <c r="B27" s="326" t="s">
        <v>182</v>
      </c>
      <c r="C27" s="326" t="s">
        <v>175</v>
      </c>
      <c r="D27" s="327">
        <v>0</v>
      </c>
      <c r="E27" s="327">
        <v>0</v>
      </c>
      <c r="F27" s="327">
        <v>0</v>
      </c>
      <c r="G27" s="327">
        <v>0</v>
      </c>
      <c r="H27" s="327">
        <v>0</v>
      </c>
      <c r="I27" s="327">
        <v>0</v>
      </c>
      <c r="J27" s="327">
        <v>0</v>
      </c>
      <c r="K27" s="327">
        <v>0</v>
      </c>
      <c r="L27" s="327">
        <v>0</v>
      </c>
      <c r="M27" s="327">
        <v>0</v>
      </c>
      <c r="N27" s="327">
        <v>0</v>
      </c>
      <c r="O27" s="327">
        <v>0</v>
      </c>
      <c r="P27" s="327">
        <v>0</v>
      </c>
      <c r="Q27" s="327">
        <v>0</v>
      </c>
      <c r="R27" s="327">
        <v>0</v>
      </c>
      <c r="S27" s="327">
        <v>0</v>
      </c>
      <c r="T27" s="327">
        <v>0</v>
      </c>
      <c r="U27" s="327">
        <v>0</v>
      </c>
      <c r="V27" s="327">
        <v>0</v>
      </c>
      <c r="W27" s="327">
        <v>0</v>
      </c>
      <c r="X27" s="327">
        <v>0</v>
      </c>
      <c r="Y27" s="327">
        <v>0</v>
      </c>
      <c r="Z27" s="327">
        <v>0</v>
      </c>
      <c r="AA27" s="327">
        <v>0</v>
      </c>
      <c r="AB27" s="328">
        <f t="shared" si="0"/>
        <v>0</v>
      </c>
      <c r="AC27" s="328">
        <f t="shared" si="1"/>
        <v>0</v>
      </c>
      <c r="AD27" s="329">
        <f t="shared" si="2"/>
        <v>0</v>
      </c>
      <c r="AE27" s="102"/>
    </row>
    <row r="28" spans="2:31">
      <c r="B28" s="326" t="s">
        <v>182</v>
      </c>
      <c r="C28" s="326" t="s">
        <v>176</v>
      </c>
      <c r="D28" s="327">
        <v>0</v>
      </c>
      <c r="E28" s="327">
        <v>0</v>
      </c>
      <c r="F28" s="327">
        <v>0</v>
      </c>
      <c r="G28" s="327">
        <v>0</v>
      </c>
      <c r="H28" s="327">
        <v>0</v>
      </c>
      <c r="I28" s="327">
        <v>0</v>
      </c>
      <c r="J28" s="327">
        <v>0</v>
      </c>
      <c r="K28" s="327">
        <v>0</v>
      </c>
      <c r="L28" s="327">
        <v>0</v>
      </c>
      <c r="M28" s="327">
        <v>0</v>
      </c>
      <c r="N28" s="327">
        <v>0</v>
      </c>
      <c r="O28" s="327">
        <v>0</v>
      </c>
      <c r="P28" s="327">
        <v>0</v>
      </c>
      <c r="Q28" s="327">
        <v>0</v>
      </c>
      <c r="R28" s="327">
        <v>0</v>
      </c>
      <c r="S28" s="327">
        <v>0</v>
      </c>
      <c r="T28" s="327">
        <v>0</v>
      </c>
      <c r="U28" s="327">
        <v>0</v>
      </c>
      <c r="V28" s="327">
        <v>0</v>
      </c>
      <c r="W28" s="327">
        <v>0</v>
      </c>
      <c r="X28" s="327">
        <v>0</v>
      </c>
      <c r="Y28" s="327">
        <v>0</v>
      </c>
      <c r="Z28" s="327">
        <v>0</v>
      </c>
      <c r="AA28" s="327">
        <v>0</v>
      </c>
      <c r="AB28" s="328">
        <f t="shared" si="0"/>
        <v>0</v>
      </c>
      <c r="AC28" s="328">
        <f t="shared" si="1"/>
        <v>0</v>
      </c>
      <c r="AD28" s="329">
        <f t="shared" si="2"/>
        <v>0</v>
      </c>
      <c r="AE28" s="102"/>
    </row>
    <row r="29" spans="2:31">
      <c r="B29" s="326" t="s">
        <v>182</v>
      </c>
      <c r="C29" s="326" t="s">
        <v>177</v>
      </c>
      <c r="D29" s="327">
        <v>0</v>
      </c>
      <c r="E29" s="327">
        <v>0</v>
      </c>
      <c r="F29" s="327">
        <v>0</v>
      </c>
      <c r="G29" s="327">
        <v>0</v>
      </c>
      <c r="H29" s="327">
        <v>0</v>
      </c>
      <c r="I29" s="327">
        <v>0</v>
      </c>
      <c r="J29" s="327">
        <v>0</v>
      </c>
      <c r="K29" s="327">
        <v>0</v>
      </c>
      <c r="L29" s="327">
        <v>0</v>
      </c>
      <c r="M29" s="327">
        <v>0</v>
      </c>
      <c r="N29" s="327">
        <v>0</v>
      </c>
      <c r="O29" s="327">
        <v>0</v>
      </c>
      <c r="P29" s="327">
        <v>0</v>
      </c>
      <c r="Q29" s="327">
        <v>0</v>
      </c>
      <c r="R29" s="327">
        <v>0</v>
      </c>
      <c r="S29" s="327">
        <v>0</v>
      </c>
      <c r="T29" s="327">
        <v>0</v>
      </c>
      <c r="U29" s="327">
        <v>0</v>
      </c>
      <c r="V29" s="327">
        <v>0</v>
      </c>
      <c r="W29" s="327">
        <v>0</v>
      </c>
      <c r="X29" s="327">
        <v>0</v>
      </c>
      <c r="Y29" s="327">
        <v>0</v>
      </c>
      <c r="Z29" s="327">
        <v>0</v>
      </c>
      <c r="AA29" s="327">
        <v>0</v>
      </c>
      <c r="AB29" s="328">
        <f t="shared" si="0"/>
        <v>0</v>
      </c>
      <c r="AC29" s="328">
        <f t="shared" si="1"/>
        <v>0</v>
      </c>
      <c r="AD29" s="329">
        <f t="shared" si="2"/>
        <v>0</v>
      </c>
      <c r="AE29" s="101"/>
    </row>
  </sheetData>
  <sheetProtection password="85CC" sheet="1" insertRows="0"/>
  <mergeCells count="23">
    <mergeCell ref="AE22:AE25"/>
    <mergeCell ref="AE26:AE29"/>
    <mergeCell ref="S4:U4"/>
    <mergeCell ref="V4:X4"/>
    <mergeCell ref="AE6:AE9"/>
    <mergeCell ref="AE10:AE13"/>
    <mergeCell ref="AE18:AE21"/>
    <mergeCell ref="B1:AE1"/>
    <mergeCell ref="B2:W2"/>
    <mergeCell ref="P3:U3"/>
    <mergeCell ref="P4:R4"/>
    <mergeCell ref="AE14:AE17"/>
    <mergeCell ref="B3:B5"/>
    <mergeCell ref="C3:C5"/>
    <mergeCell ref="D3:I3"/>
    <mergeCell ref="J3:O3"/>
    <mergeCell ref="D4:F4"/>
    <mergeCell ref="G4:I4"/>
    <mergeCell ref="J4:L4"/>
    <mergeCell ref="M4:O4"/>
    <mergeCell ref="Y4:AA4"/>
    <mergeCell ref="V3:AA3"/>
    <mergeCell ref="AB3:AC3"/>
  </mergeCells>
  <dataValidations count="1">
    <dataValidation type="whole" allowBlank="1" showInputMessage="1" showErrorMessage="1" sqref="D6:AA29" xr:uid="{00000000-0002-0000-0400-000000000000}">
      <formula1>0</formula1>
      <formula2>999999</formula2>
    </dataValidation>
  </dataValidation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M1014"/>
  <sheetViews>
    <sheetView topLeftCell="A4" workbookViewId="0">
      <selection activeCell="A11" sqref="A11 A11:XFD11"/>
    </sheetView>
  </sheetViews>
  <sheetFormatPr defaultColWidth="8.7109375" defaultRowHeight="15"/>
  <cols>
    <col min="1" max="1" width="5" customWidth="1"/>
    <col min="2" max="2" width="22.85546875" style="234" customWidth="1"/>
    <col min="3" max="3" width="12.5703125" style="234" customWidth="1"/>
    <col min="4" max="4" width="12" style="234" customWidth="1"/>
    <col min="5" max="5" width="17.42578125" style="234" bestFit="1" customWidth="1"/>
    <col min="6" max="6" width="19.5703125" style="234" customWidth="1"/>
    <col min="7" max="7" width="25.28515625" style="234" customWidth="1"/>
    <col min="8" max="8" width="16" style="234" customWidth="1"/>
    <col min="9" max="9" width="28" style="234" customWidth="1"/>
    <col min="10" max="10" width="19.28515625" style="234" customWidth="1"/>
    <col min="11" max="11" width="23.28515625" style="234" hidden="1" customWidth="1"/>
    <col min="12" max="13" width="20.140625" style="234" bestFit="1" customWidth="1"/>
    <col min="14" max="14" width="8.7109375" style="234" customWidth="1"/>
    <col min="15" max="16384" width="8.7109375" style="234"/>
  </cols>
  <sheetData>
    <row r="1" spans="2:39" customFormat="1" ht="21" customHeight="1">
      <c r="B1" s="56" t="s">
        <v>185</v>
      </c>
      <c r="C1" s="55"/>
      <c r="D1" s="55"/>
      <c r="E1" s="55"/>
      <c r="F1" s="55"/>
      <c r="G1" s="55"/>
      <c r="H1" s="55"/>
      <c r="I1" s="55"/>
      <c r="J1" s="55"/>
      <c r="K1" s="55"/>
      <c r="L1" s="55"/>
      <c r="M1" s="55"/>
      <c r="N1" s="250"/>
      <c r="O1" s="250"/>
      <c r="P1" s="250"/>
      <c r="Q1" s="250"/>
      <c r="R1" s="250"/>
      <c r="S1" s="250"/>
      <c r="T1" s="250"/>
      <c r="U1" s="250"/>
      <c r="V1" s="250"/>
      <c r="W1" s="250"/>
      <c r="X1" s="250"/>
      <c r="Y1" s="250"/>
      <c r="Z1" s="250"/>
      <c r="AA1" s="250"/>
      <c r="AB1" s="250"/>
      <c r="AC1" s="250"/>
      <c r="AD1" s="250"/>
      <c r="AE1" s="250"/>
      <c r="AF1" s="250"/>
      <c r="AG1" s="250"/>
      <c r="AH1" s="250"/>
      <c r="AI1" s="250"/>
      <c r="AJ1" s="250"/>
      <c r="AK1" s="250"/>
      <c r="AL1" s="250"/>
      <c r="AM1" s="250"/>
    </row>
    <row r="2" spans="2:39" customFormat="1" ht="15" customHeight="1">
      <c r="B2" s="45" t="s">
        <v>122</v>
      </c>
      <c r="C2" s="44"/>
      <c r="D2" s="44"/>
      <c r="E2" s="44"/>
      <c r="F2" s="44"/>
      <c r="G2" s="44"/>
      <c r="H2" s="44"/>
      <c r="I2" s="44"/>
      <c r="J2" s="44"/>
      <c r="K2" s="44"/>
      <c r="L2" s="44"/>
      <c r="M2" s="43"/>
      <c r="N2" s="250"/>
      <c r="O2" s="250"/>
      <c r="P2" s="250"/>
      <c r="Q2" s="250"/>
      <c r="R2" s="250"/>
      <c r="S2" s="250"/>
      <c r="T2" s="250"/>
      <c r="U2" s="250"/>
      <c r="V2" s="250"/>
      <c r="W2" s="250"/>
      <c r="X2" s="250"/>
      <c r="Y2" s="250"/>
      <c r="Z2" s="250"/>
      <c r="AA2" s="250"/>
      <c r="AB2" s="250"/>
      <c r="AC2" s="250"/>
      <c r="AD2" s="250"/>
      <c r="AE2" s="250"/>
      <c r="AF2" s="250"/>
      <c r="AG2" s="250"/>
      <c r="AH2" s="250"/>
      <c r="AI2" s="250"/>
      <c r="AJ2" s="250"/>
      <c r="AK2" s="250"/>
      <c r="AL2" s="250"/>
      <c r="AM2" s="250"/>
    </row>
    <row r="3" spans="2:39" customFormat="1" ht="21" customHeight="1">
      <c r="B3" s="54" t="s">
        <v>186</v>
      </c>
      <c r="C3" s="53"/>
      <c r="D3" s="53"/>
      <c r="E3" s="53"/>
      <c r="F3" s="53"/>
      <c r="G3" s="53"/>
      <c r="H3" s="53"/>
      <c r="I3" s="53"/>
      <c r="J3" s="53"/>
      <c r="K3" s="53"/>
      <c r="L3" s="53"/>
      <c r="M3" s="53"/>
    </row>
    <row r="4" spans="2:39" customFormat="1" ht="21" customHeight="1">
      <c r="B4" s="52" t="s">
        <v>124</v>
      </c>
      <c r="C4" s="51"/>
      <c r="D4" s="51"/>
      <c r="E4" s="51"/>
      <c r="F4" s="51"/>
      <c r="G4" s="51"/>
      <c r="H4" s="51"/>
      <c r="I4" s="51"/>
      <c r="J4" s="51"/>
      <c r="K4" s="51"/>
      <c r="L4" s="51"/>
      <c r="M4" s="51"/>
    </row>
    <row r="5" spans="2:39" customFormat="1" ht="23.1" customHeight="1" thickBot="1">
      <c r="B5" s="50" t="s">
        <v>187</v>
      </c>
      <c r="C5" s="49"/>
      <c r="D5" s="49"/>
      <c r="E5" s="49"/>
      <c r="F5" s="49"/>
      <c r="G5" s="49"/>
      <c r="H5" s="49"/>
      <c r="I5" s="49"/>
      <c r="J5" s="49"/>
      <c r="K5" s="49"/>
      <c r="L5" s="49"/>
      <c r="M5" s="49"/>
    </row>
    <row r="6" spans="2:39" customFormat="1" ht="15.75" customHeight="1" thickBot="1">
      <c r="B6" s="48" t="s">
        <v>188</v>
      </c>
      <c r="C6" s="47"/>
      <c r="D6" s="47"/>
      <c r="E6" s="47"/>
      <c r="F6" s="47"/>
      <c r="G6" s="47"/>
      <c r="H6" s="47"/>
      <c r="I6" s="47"/>
      <c r="J6" s="47"/>
      <c r="K6" s="47"/>
      <c r="L6" s="46"/>
      <c r="M6" s="331">
        <f>SUMIFS(M14:M1014,B14:B1014,"Made_In_Oman",I14:I1014,"NRS")</f>
        <v>0</v>
      </c>
    </row>
    <row r="7" spans="2:39" customFormat="1" ht="15.75" customHeight="1" thickBot="1">
      <c r="B7" s="60" t="s">
        <v>189</v>
      </c>
      <c r="C7" s="59"/>
      <c r="D7" s="59"/>
      <c r="E7" s="59"/>
      <c r="F7" s="59"/>
      <c r="G7" s="59"/>
      <c r="H7" s="59"/>
      <c r="I7" s="59"/>
      <c r="J7" s="59"/>
      <c r="K7" s="59"/>
      <c r="L7" s="58"/>
      <c r="M7" s="331">
        <f>SUMIFS(M14:M1014,B14:B1014,"Made_In_Oman",I14:I1014,"SME")</f>
        <v>0</v>
      </c>
    </row>
    <row r="8" spans="2:39" customFormat="1" ht="15.75" customHeight="1" thickBot="1">
      <c r="B8" s="60" t="s">
        <v>190</v>
      </c>
      <c r="C8" s="59"/>
      <c r="D8" s="59"/>
      <c r="E8" s="59"/>
      <c r="F8" s="59"/>
      <c r="G8" s="59"/>
      <c r="H8" s="59"/>
      <c r="I8" s="59"/>
      <c r="J8" s="59"/>
      <c r="K8" s="59"/>
      <c r="L8" s="58"/>
      <c r="M8" s="331">
        <f>SUMIFS(M14:M1014,B14:B1014,"Made_In_Oman",J14:J1014,"YES")</f>
        <v>0</v>
      </c>
    </row>
    <row r="9" spans="2:39" customFormat="1" ht="15.75" customHeight="1" thickBot="1">
      <c r="B9" s="60" t="s">
        <v>191</v>
      </c>
      <c r="C9" s="59"/>
      <c r="D9" s="59"/>
      <c r="E9" s="59"/>
      <c r="F9" s="59"/>
      <c r="G9" s="59"/>
      <c r="H9" s="59"/>
      <c r="I9" s="59"/>
      <c r="J9" s="59"/>
      <c r="K9" s="59"/>
      <c r="L9" s="58"/>
      <c r="M9" s="331">
        <f>SUMIFS(M14:M1014,B14:B1014,"NonMade_In_Oman",I14:I1014,"NRS")</f>
        <v>0</v>
      </c>
    </row>
    <row r="10" spans="2:39" customFormat="1" ht="16.5" customHeight="1" thickBot="1">
      <c r="B10" s="60" t="s">
        <v>192</v>
      </c>
      <c r="C10" s="59"/>
      <c r="D10" s="59"/>
      <c r="E10" s="59"/>
      <c r="F10" s="59"/>
      <c r="G10" s="59"/>
      <c r="H10" s="59"/>
      <c r="I10" s="59"/>
      <c r="J10" s="59"/>
      <c r="K10" s="59"/>
      <c r="L10" s="58"/>
      <c r="M10" s="331">
        <f>SUMIFS(M14:M1014,B14:B1014,"NonMade_In_Oman",I14:I1014,"FRS")</f>
        <v>0</v>
      </c>
    </row>
    <row r="11" spans="2:39" customFormat="1" ht="15.75" customHeight="1" thickBot="1">
      <c r="B11" s="60" t="s">
        <v>193</v>
      </c>
      <c r="C11" s="59"/>
      <c r="D11" s="59"/>
      <c r="E11" s="59"/>
      <c r="F11" s="59"/>
      <c r="G11" s="59"/>
      <c r="H11" s="59"/>
      <c r="I11" s="59"/>
      <c r="J11" s="59"/>
      <c r="K11" s="59"/>
      <c r="L11" s="58"/>
      <c r="M11" s="331">
        <f>SUMIFS(M14:M1014,B14:B1014,"NonMade_In_Oman",I14:I1014,"SME")</f>
        <v>0</v>
      </c>
    </row>
    <row r="12" spans="2:39" customFormat="1" ht="15.75" customHeight="1" thickBot="1">
      <c r="B12" s="60" t="s">
        <v>194</v>
      </c>
      <c r="C12" s="59"/>
      <c r="D12" s="59"/>
      <c r="E12" s="59"/>
      <c r="F12" s="59"/>
      <c r="G12" s="59"/>
      <c r="H12" s="59"/>
      <c r="I12" s="59"/>
      <c r="J12" s="59"/>
      <c r="K12" s="59"/>
      <c r="L12" s="57"/>
      <c r="M12" s="332">
        <f>SUMIFS(M14:M1014,B14:B1014,"NonMade_In_Oman",J14:J1014,"YES")</f>
        <v>0</v>
      </c>
    </row>
    <row r="13" spans="2:39" customFormat="1" ht="35.450000000000003" customHeight="1">
      <c r="B13" s="333" t="s">
        <v>195</v>
      </c>
      <c r="C13" s="333" t="s">
        <v>165</v>
      </c>
      <c r="D13" s="333" t="s">
        <v>166</v>
      </c>
      <c r="E13" s="333" t="s">
        <v>196</v>
      </c>
      <c r="F13" s="333" t="s">
        <v>197</v>
      </c>
      <c r="G13" s="333" t="s">
        <v>198</v>
      </c>
      <c r="H13" s="333" t="s">
        <v>199</v>
      </c>
      <c r="I13" s="333" t="s">
        <v>200</v>
      </c>
      <c r="J13" s="333" t="s">
        <v>201</v>
      </c>
      <c r="K13" s="333" t="s">
        <v>202</v>
      </c>
      <c r="L13" s="333" t="s">
        <v>203</v>
      </c>
      <c r="M13" s="333" t="s">
        <v>132</v>
      </c>
    </row>
    <row r="14" spans="2:39" customFormat="1" ht="16.5" customHeight="1">
      <c r="B14" s="271"/>
      <c r="C14" s="271"/>
      <c r="D14" s="271"/>
      <c r="E14" s="271"/>
      <c r="F14" s="271"/>
      <c r="G14" s="271"/>
      <c r="H14" s="271"/>
      <c r="I14" s="334" t="str">
        <f t="shared" ref="I14:I77" si="0">IF(H14="Large","NRS",IF(H14="International","FRS",IF(H14="SME - Medium","SME",IF(H14="SME - Micro","SME",IF(H14="SME - Small","SME","")))))</f>
        <v/>
      </c>
      <c r="J14" s="270" t="str">
        <f t="shared" ref="J14:J77" si="1">IF(B14="","","No")</f>
        <v/>
      </c>
      <c r="K14" s="335"/>
      <c r="L14" s="336"/>
      <c r="M14" s="337"/>
    </row>
    <row r="15" spans="2:39" customFormat="1" ht="15" customHeight="1">
      <c r="B15" s="271"/>
      <c r="C15" s="271"/>
      <c r="D15" s="271"/>
      <c r="E15" s="271"/>
      <c r="F15" s="271"/>
      <c r="G15" s="271"/>
      <c r="H15" s="271"/>
      <c r="I15" s="334" t="str">
        <f t="shared" si="0"/>
        <v/>
      </c>
      <c r="J15" s="270" t="str">
        <f t="shared" si="1"/>
        <v/>
      </c>
      <c r="K15" s="335"/>
      <c r="L15" s="336"/>
      <c r="M15" s="338"/>
    </row>
    <row r="16" spans="2:39" customFormat="1" ht="15" customHeight="1">
      <c r="B16" s="271"/>
      <c r="C16" s="271"/>
      <c r="D16" s="271"/>
      <c r="E16" s="271"/>
      <c r="F16" s="271"/>
      <c r="G16" s="271"/>
      <c r="H16" s="271"/>
      <c r="I16" s="334" t="str">
        <f t="shared" si="0"/>
        <v/>
      </c>
      <c r="J16" s="270" t="str">
        <f t="shared" si="1"/>
        <v/>
      </c>
      <c r="K16" s="335"/>
      <c r="L16" s="336"/>
      <c r="M16" s="338"/>
    </row>
    <row r="17" spans="2:13" customFormat="1" ht="17.25" customHeight="1">
      <c r="B17" s="271"/>
      <c r="C17" s="271"/>
      <c r="D17" s="271"/>
      <c r="E17" s="271"/>
      <c r="F17" s="271"/>
      <c r="G17" s="271"/>
      <c r="H17" s="271"/>
      <c r="I17" s="334" t="str">
        <f t="shared" si="0"/>
        <v/>
      </c>
      <c r="J17" s="270" t="str">
        <f t="shared" si="1"/>
        <v/>
      </c>
      <c r="K17" s="335"/>
      <c r="L17" s="336"/>
      <c r="M17" s="338"/>
    </row>
    <row r="18" spans="2:13" customFormat="1" ht="15" customHeight="1">
      <c r="B18" s="271"/>
      <c r="C18" s="271"/>
      <c r="D18" s="271"/>
      <c r="E18" s="271"/>
      <c r="F18" s="271"/>
      <c r="G18" s="271"/>
      <c r="H18" s="271"/>
      <c r="I18" s="334" t="str">
        <f t="shared" si="0"/>
        <v/>
      </c>
      <c r="J18" s="270" t="str">
        <f t="shared" si="1"/>
        <v/>
      </c>
      <c r="K18" s="335"/>
      <c r="L18" s="336"/>
      <c r="M18" s="338"/>
    </row>
    <row r="19" spans="2:13" customFormat="1" ht="15" customHeight="1">
      <c r="B19" s="271"/>
      <c r="C19" s="271"/>
      <c r="D19" s="271"/>
      <c r="E19" s="271"/>
      <c r="F19" s="271"/>
      <c r="G19" s="271"/>
      <c r="H19" s="271"/>
      <c r="I19" s="334" t="str">
        <f t="shared" si="0"/>
        <v/>
      </c>
      <c r="J19" s="270" t="str">
        <f t="shared" si="1"/>
        <v/>
      </c>
      <c r="K19" s="335"/>
      <c r="L19" s="336"/>
      <c r="M19" s="338"/>
    </row>
    <row r="20" spans="2:13" customFormat="1" ht="15" customHeight="1">
      <c r="B20" s="271"/>
      <c r="C20" s="271"/>
      <c r="D20" s="271"/>
      <c r="E20" s="271"/>
      <c r="F20" s="271"/>
      <c r="G20" s="271"/>
      <c r="H20" s="271"/>
      <c r="I20" s="334" t="str">
        <f t="shared" si="0"/>
        <v/>
      </c>
      <c r="J20" s="270" t="str">
        <f t="shared" si="1"/>
        <v/>
      </c>
      <c r="K20" s="335"/>
      <c r="L20" s="336"/>
      <c r="M20" s="338"/>
    </row>
    <row r="21" spans="2:13" customFormat="1" ht="15" customHeight="1">
      <c r="B21" s="271"/>
      <c r="C21" s="271"/>
      <c r="D21" s="271"/>
      <c r="E21" s="271"/>
      <c r="F21" s="271"/>
      <c r="G21" s="271"/>
      <c r="H21" s="271"/>
      <c r="I21" s="334" t="str">
        <f t="shared" si="0"/>
        <v/>
      </c>
      <c r="J21" s="270" t="str">
        <f t="shared" si="1"/>
        <v/>
      </c>
      <c r="K21" s="335"/>
      <c r="L21" s="336"/>
      <c r="M21" s="338"/>
    </row>
    <row r="22" spans="2:13">
      <c r="B22" s="271"/>
      <c r="C22" s="271"/>
      <c r="D22" s="271"/>
      <c r="E22" s="271"/>
      <c r="F22" s="271"/>
      <c r="G22" s="271"/>
      <c r="H22" s="271"/>
      <c r="I22" s="334" t="str">
        <f t="shared" si="0"/>
        <v/>
      </c>
      <c r="J22" s="270" t="str">
        <f t="shared" si="1"/>
        <v/>
      </c>
      <c r="K22" s="335"/>
      <c r="L22" s="336"/>
      <c r="M22" s="338"/>
    </row>
    <row r="23" spans="2:13">
      <c r="B23" s="271"/>
      <c r="C23" s="271"/>
      <c r="D23" s="271"/>
      <c r="E23" s="271"/>
      <c r="F23" s="271"/>
      <c r="G23" s="271"/>
      <c r="H23" s="271"/>
      <c r="I23" s="334" t="str">
        <f t="shared" si="0"/>
        <v/>
      </c>
      <c r="J23" s="270" t="str">
        <f t="shared" si="1"/>
        <v/>
      </c>
      <c r="K23" s="335"/>
      <c r="L23" s="336"/>
      <c r="M23" s="338"/>
    </row>
    <row r="24" spans="2:13">
      <c r="B24" s="271"/>
      <c r="C24" s="271"/>
      <c r="D24" s="271"/>
      <c r="E24" s="271"/>
      <c r="F24" s="271"/>
      <c r="G24" s="271"/>
      <c r="H24" s="271"/>
      <c r="I24" s="334" t="str">
        <f t="shared" si="0"/>
        <v/>
      </c>
      <c r="J24" s="270" t="str">
        <f t="shared" si="1"/>
        <v/>
      </c>
      <c r="K24" s="335"/>
      <c r="L24" s="336"/>
      <c r="M24" s="338"/>
    </row>
    <row r="25" spans="2:13">
      <c r="B25" s="271"/>
      <c r="C25" s="271"/>
      <c r="D25" s="271"/>
      <c r="E25" s="271"/>
      <c r="F25" s="271"/>
      <c r="G25" s="271"/>
      <c r="H25" s="271"/>
      <c r="I25" s="334" t="str">
        <f t="shared" si="0"/>
        <v/>
      </c>
      <c r="J25" s="270" t="str">
        <f t="shared" si="1"/>
        <v/>
      </c>
      <c r="K25" s="335"/>
      <c r="L25" s="336"/>
      <c r="M25" s="338"/>
    </row>
    <row r="26" spans="2:13">
      <c r="B26" s="271"/>
      <c r="C26" s="271"/>
      <c r="D26" s="271"/>
      <c r="E26" s="271"/>
      <c r="F26" s="271"/>
      <c r="G26" s="271"/>
      <c r="H26" s="271"/>
      <c r="I26" s="334" t="str">
        <f t="shared" si="0"/>
        <v/>
      </c>
      <c r="J26" s="270" t="str">
        <f t="shared" si="1"/>
        <v/>
      </c>
      <c r="K26" s="335"/>
      <c r="L26" s="336"/>
      <c r="M26" s="338"/>
    </row>
    <row r="27" spans="2:13">
      <c r="B27" s="271"/>
      <c r="C27" s="271"/>
      <c r="D27" s="271"/>
      <c r="E27" s="271"/>
      <c r="F27" s="271"/>
      <c r="G27" s="271"/>
      <c r="H27" s="271"/>
      <c r="I27" s="334" t="str">
        <f t="shared" si="0"/>
        <v/>
      </c>
      <c r="J27" s="270" t="str">
        <f t="shared" si="1"/>
        <v/>
      </c>
      <c r="K27" s="335"/>
      <c r="L27" s="336"/>
      <c r="M27" s="338"/>
    </row>
    <row r="28" spans="2:13">
      <c r="B28" s="271"/>
      <c r="C28" s="271"/>
      <c r="D28" s="271"/>
      <c r="E28" s="271"/>
      <c r="F28" s="271"/>
      <c r="G28" s="271"/>
      <c r="H28" s="271"/>
      <c r="I28" s="334" t="str">
        <f t="shared" si="0"/>
        <v/>
      </c>
      <c r="J28" s="270" t="str">
        <f t="shared" si="1"/>
        <v/>
      </c>
      <c r="K28" s="335"/>
      <c r="L28" s="336"/>
      <c r="M28" s="338"/>
    </row>
    <row r="29" spans="2:13" customFormat="1" ht="16.5" customHeight="1">
      <c r="B29" s="271"/>
      <c r="C29" s="271"/>
      <c r="D29" s="271"/>
      <c r="E29" s="271"/>
      <c r="F29" s="271"/>
      <c r="G29" s="271"/>
      <c r="H29" s="271"/>
      <c r="I29" s="334" t="str">
        <f t="shared" si="0"/>
        <v/>
      </c>
      <c r="J29" s="270" t="str">
        <f t="shared" si="1"/>
        <v/>
      </c>
      <c r="K29" s="335"/>
      <c r="L29" s="336"/>
      <c r="M29" s="338"/>
    </row>
    <row r="30" spans="2:13" customFormat="1" ht="16.5" customHeight="1">
      <c r="B30" s="271"/>
      <c r="C30" s="271"/>
      <c r="D30" s="271"/>
      <c r="E30" s="271"/>
      <c r="F30" s="271"/>
      <c r="G30" s="271"/>
      <c r="H30" s="271"/>
      <c r="I30" s="334" t="str">
        <f t="shared" si="0"/>
        <v/>
      </c>
      <c r="J30" s="270" t="str">
        <f t="shared" si="1"/>
        <v/>
      </c>
      <c r="K30" s="335"/>
      <c r="L30" s="336"/>
      <c r="M30" s="338"/>
    </row>
    <row r="31" spans="2:13" customFormat="1" ht="15" customHeight="1">
      <c r="B31" s="271"/>
      <c r="C31" s="271"/>
      <c r="D31" s="271"/>
      <c r="E31" s="271"/>
      <c r="F31" s="271"/>
      <c r="G31" s="271"/>
      <c r="H31" s="271"/>
      <c r="I31" s="334" t="str">
        <f t="shared" si="0"/>
        <v/>
      </c>
      <c r="J31" s="270" t="str">
        <f t="shared" si="1"/>
        <v/>
      </c>
      <c r="K31" s="335"/>
      <c r="L31" s="336"/>
      <c r="M31" s="338"/>
    </row>
    <row r="32" spans="2:13" customFormat="1" ht="15" customHeight="1">
      <c r="B32" s="271"/>
      <c r="C32" s="271"/>
      <c r="D32" s="271"/>
      <c r="E32" s="271"/>
      <c r="F32" s="271"/>
      <c r="G32" s="271"/>
      <c r="H32" s="271"/>
      <c r="I32" s="334" t="str">
        <f t="shared" si="0"/>
        <v/>
      </c>
      <c r="J32" s="270" t="str">
        <f t="shared" si="1"/>
        <v/>
      </c>
      <c r="K32" s="335"/>
      <c r="L32" s="336"/>
      <c r="M32" s="338"/>
    </row>
    <row r="33" spans="2:13" customFormat="1" ht="18.75" customHeight="1">
      <c r="B33" s="271"/>
      <c r="C33" s="271"/>
      <c r="D33" s="271"/>
      <c r="E33" s="271"/>
      <c r="F33" s="271"/>
      <c r="G33" s="271"/>
      <c r="H33" s="271"/>
      <c r="I33" s="334" t="str">
        <f t="shared" si="0"/>
        <v/>
      </c>
      <c r="J33" s="270" t="str">
        <f t="shared" si="1"/>
        <v/>
      </c>
      <c r="K33" s="335"/>
      <c r="L33" s="336"/>
      <c r="M33" s="338"/>
    </row>
    <row r="34" spans="2:13">
      <c r="B34" s="271"/>
      <c r="C34" s="271"/>
      <c r="D34" s="271"/>
      <c r="E34" s="271"/>
      <c r="F34" s="271"/>
      <c r="G34" s="271"/>
      <c r="H34" s="271"/>
      <c r="I34" s="334" t="str">
        <f t="shared" si="0"/>
        <v/>
      </c>
      <c r="J34" s="270" t="str">
        <f t="shared" si="1"/>
        <v/>
      </c>
      <c r="K34" s="335"/>
      <c r="L34" s="336"/>
      <c r="M34" s="338"/>
    </row>
    <row r="35" spans="2:13" customFormat="1" ht="18.75" customHeight="1">
      <c r="B35" s="271"/>
      <c r="C35" s="271"/>
      <c r="D35" s="271"/>
      <c r="E35" s="271"/>
      <c r="F35" s="271"/>
      <c r="G35" s="271"/>
      <c r="H35" s="271"/>
      <c r="I35" s="334" t="str">
        <f t="shared" si="0"/>
        <v/>
      </c>
      <c r="J35" s="270" t="str">
        <f t="shared" si="1"/>
        <v/>
      </c>
      <c r="K35" s="335"/>
      <c r="L35" s="336"/>
      <c r="M35" s="338"/>
    </row>
    <row r="36" spans="2:13" customFormat="1" ht="18.75" customHeight="1">
      <c r="B36" s="271"/>
      <c r="C36" s="271"/>
      <c r="D36" s="271"/>
      <c r="E36" s="271"/>
      <c r="F36" s="271"/>
      <c r="G36" s="271"/>
      <c r="H36" s="271"/>
      <c r="I36" s="334" t="str">
        <f t="shared" si="0"/>
        <v/>
      </c>
      <c r="J36" s="270" t="str">
        <f t="shared" si="1"/>
        <v/>
      </c>
      <c r="K36" s="335"/>
      <c r="L36" s="336"/>
      <c r="M36" s="338"/>
    </row>
    <row r="37" spans="2:13" customFormat="1" ht="18.75" customHeight="1">
      <c r="B37" s="271"/>
      <c r="C37" s="271"/>
      <c r="D37" s="271"/>
      <c r="E37" s="271"/>
      <c r="F37" s="271"/>
      <c r="G37" s="271"/>
      <c r="H37" s="271"/>
      <c r="I37" s="334" t="str">
        <f t="shared" si="0"/>
        <v/>
      </c>
      <c r="J37" s="270" t="str">
        <f t="shared" si="1"/>
        <v/>
      </c>
      <c r="K37" s="335"/>
      <c r="L37" s="336"/>
      <c r="M37" s="338"/>
    </row>
    <row r="38" spans="2:13" customFormat="1" ht="18.75" customHeight="1">
      <c r="B38" s="271"/>
      <c r="C38" s="271"/>
      <c r="D38" s="271"/>
      <c r="E38" s="271"/>
      <c r="F38" s="271"/>
      <c r="G38" s="271"/>
      <c r="H38" s="271"/>
      <c r="I38" s="334" t="str">
        <f t="shared" si="0"/>
        <v/>
      </c>
      <c r="J38" s="270" t="str">
        <f t="shared" si="1"/>
        <v/>
      </c>
      <c r="K38" s="335"/>
      <c r="L38" s="336"/>
      <c r="M38" s="338"/>
    </row>
    <row r="39" spans="2:13" customFormat="1" ht="18.75" customHeight="1">
      <c r="B39" s="271"/>
      <c r="C39" s="271"/>
      <c r="D39" s="271"/>
      <c r="E39" s="271"/>
      <c r="F39" s="271"/>
      <c r="G39" s="271"/>
      <c r="H39" s="271"/>
      <c r="I39" s="334" t="str">
        <f t="shared" si="0"/>
        <v/>
      </c>
      <c r="J39" s="270" t="str">
        <f t="shared" si="1"/>
        <v/>
      </c>
      <c r="K39" s="335"/>
      <c r="L39" s="336"/>
      <c r="M39" s="338"/>
    </row>
    <row r="40" spans="2:13" customFormat="1" ht="18.75" customHeight="1">
      <c r="B40" s="271"/>
      <c r="C40" s="271"/>
      <c r="D40" s="271"/>
      <c r="E40" s="271"/>
      <c r="F40" s="271"/>
      <c r="G40" s="271"/>
      <c r="H40" s="271"/>
      <c r="I40" s="334" t="str">
        <f t="shared" si="0"/>
        <v/>
      </c>
      <c r="J40" s="270" t="str">
        <f t="shared" si="1"/>
        <v/>
      </c>
      <c r="K40" s="335"/>
      <c r="L40" s="336"/>
      <c r="M40" s="338"/>
    </row>
    <row r="41" spans="2:13" customFormat="1" ht="18.75" customHeight="1">
      <c r="B41" s="271"/>
      <c r="C41" s="271"/>
      <c r="D41" s="271"/>
      <c r="E41" s="271"/>
      <c r="F41" s="271"/>
      <c r="G41" s="271"/>
      <c r="H41" s="271"/>
      <c r="I41" s="334" t="str">
        <f t="shared" si="0"/>
        <v/>
      </c>
      <c r="J41" s="270" t="str">
        <f t="shared" si="1"/>
        <v/>
      </c>
      <c r="K41" s="335"/>
      <c r="L41" s="336"/>
      <c r="M41" s="338"/>
    </row>
    <row r="42" spans="2:13">
      <c r="B42" s="271"/>
      <c r="C42" s="271"/>
      <c r="D42" s="271"/>
      <c r="E42" s="271"/>
      <c r="F42" s="271"/>
      <c r="G42" s="271"/>
      <c r="H42" s="271"/>
      <c r="I42" s="334" t="str">
        <f t="shared" si="0"/>
        <v/>
      </c>
      <c r="J42" s="270" t="str">
        <f t="shared" si="1"/>
        <v/>
      </c>
      <c r="K42" s="335"/>
      <c r="L42" s="336"/>
      <c r="M42" s="338"/>
    </row>
    <row r="43" spans="2:13">
      <c r="B43" s="271"/>
      <c r="C43" s="271"/>
      <c r="D43" s="271"/>
      <c r="E43" s="271"/>
      <c r="F43" s="271"/>
      <c r="G43" s="271"/>
      <c r="H43" s="271"/>
      <c r="I43" s="334" t="str">
        <f t="shared" si="0"/>
        <v/>
      </c>
      <c r="J43" s="270" t="str">
        <f t="shared" si="1"/>
        <v/>
      </c>
      <c r="K43" s="335"/>
      <c r="L43" s="336"/>
      <c r="M43" s="338"/>
    </row>
    <row r="44" spans="2:13">
      <c r="B44" s="271"/>
      <c r="C44" s="271"/>
      <c r="D44" s="271"/>
      <c r="E44" s="271"/>
      <c r="F44" s="271"/>
      <c r="G44" s="271"/>
      <c r="H44" s="271"/>
      <c r="I44" s="334" t="str">
        <f t="shared" si="0"/>
        <v/>
      </c>
      <c r="J44" s="270" t="str">
        <f t="shared" si="1"/>
        <v/>
      </c>
      <c r="K44" s="335"/>
      <c r="L44" s="336"/>
      <c r="M44" s="338"/>
    </row>
    <row r="45" spans="2:13">
      <c r="B45" s="271"/>
      <c r="C45" s="271"/>
      <c r="D45" s="271"/>
      <c r="E45" s="271"/>
      <c r="F45" s="271"/>
      <c r="G45" s="271"/>
      <c r="H45" s="271"/>
      <c r="I45" s="334" t="str">
        <f t="shared" si="0"/>
        <v/>
      </c>
      <c r="J45" s="270" t="str">
        <f t="shared" si="1"/>
        <v/>
      </c>
      <c r="K45" s="335"/>
      <c r="L45" s="336"/>
      <c r="M45" s="338"/>
    </row>
    <row r="46" spans="2:13">
      <c r="B46" s="271"/>
      <c r="C46" s="271"/>
      <c r="D46" s="271"/>
      <c r="E46" s="271"/>
      <c r="F46" s="271"/>
      <c r="G46" s="271"/>
      <c r="H46" s="271"/>
      <c r="I46" s="334" t="str">
        <f t="shared" si="0"/>
        <v/>
      </c>
      <c r="J46" s="270" t="str">
        <f t="shared" si="1"/>
        <v/>
      </c>
      <c r="K46" s="335"/>
      <c r="L46" s="336"/>
      <c r="M46" s="338"/>
    </row>
    <row r="47" spans="2:13">
      <c r="B47" s="271"/>
      <c r="C47" s="271"/>
      <c r="D47" s="271"/>
      <c r="E47" s="271"/>
      <c r="F47" s="271"/>
      <c r="G47" s="271"/>
      <c r="H47" s="271"/>
      <c r="I47" s="334" t="str">
        <f t="shared" si="0"/>
        <v/>
      </c>
      <c r="J47" s="270" t="str">
        <f t="shared" si="1"/>
        <v/>
      </c>
      <c r="K47" s="335"/>
      <c r="L47" s="336"/>
      <c r="M47" s="338"/>
    </row>
    <row r="48" spans="2:13">
      <c r="B48" s="271"/>
      <c r="C48" s="271"/>
      <c r="D48" s="271"/>
      <c r="E48" s="271"/>
      <c r="F48" s="271"/>
      <c r="G48" s="271"/>
      <c r="H48" s="271"/>
      <c r="I48" s="334" t="str">
        <f t="shared" si="0"/>
        <v/>
      </c>
      <c r="J48" s="270" t="str">
        <f t="shared" si="1"/>
        <v/>
      </c>
      <c r="K48" s="335"/>
      <c r="L48" s="336"/>
      <c r="M48" s="338"/>
    </row>
    <row r="49" spans="2:13">
      <c r="B49" s="271"/>
      <c r="C49" s="271"/>
      <c r="D49" s="271"/>
      <c r="E49" s="271"/>
      <c r="F49" s="271"/>
      <c r="G49" s="271"/>
      <c r="H49" s="271"/>
      <c r="I49" s="334" t="str">
        <f t="shared" si="0"/>
        <v/>
      </c>
      <c r="J49" s="270" t="str">
        <f t="shared" si="1"/>
        <v/>
      </c>
      <c r="K49" s="335"/>
      <c r="L49" s="336"/>
      <c r="M49" s="338"/>
    </row>
    <row r="50" spans="2:13">
      <c r="B50" s="271"/>
      <c r="C50" s="271"/>
      <c r="D50" s="271"/>
      <c r="E50" s="271"/>
      <c r="F50" s="271"/>
      <c r="G50" s="271"/>
      <c r="H50" s="271"/>
      <c r="I50" s="334" t="str">
        <f t="shared" si="0"/>
        <v/>
      </c>
      <c r="J50" s="270" t="str">
        <f t="shared" si="1"/>
        <v/>
      </c>
      <c r="K50" s="335"/>
      <c r="L50" s="336"/>
      <c r="M50" s="338"/>
    </row>
    <row r="51" spans="2:13">
      <c r="B51" s="271"/>
      <c r="C51" s="271"/>
      <c r="D51" s="271"/>
      <c r="E51" s="271"/>
      <c r="F51" s="271"/>
      <c r="G51" s="271"/>
      <c r="H51" s="271"/>
      <c r="I51" s="334" t="str">
        <f t="shared" si="0"/>
        <v/>
      </c>
      <c r="J51" s="270" t="str">
        <f t="shared" si="1"/>
        <v/>
      </c>
      <c r="K51" s="335"/>
      <c r="L51" s="336"/>
      <c r="M51" s="338"/>
    </row>
    <row r="52" spans="2:13">
      <c r="B52" s="271"/>
      <c r="C52" s="271"/>
      <c r="D52" s="271"/>
      <c r="E52" s="271"/>
      <c r="F52" s="271"/>
      <c r="G52" s="271"/>
      <c r="H52" s="271"/>
      <c r="I52" s="334" t="str">
        <f t="shared" si="0"/>
        <v/>
      </c>
      <c r="J52" s="270" t="str">
        <f t="shared" si="1"/>
        <v/>
      </c>
      <c r="K52" s="335"/>
      <c r="L52" s="336"/>
      <c r="M52" s="338"/>
    </row>
    <row r="53" spans="2:13">
      <c r="B53" s="271"/>
      <c r="C53" s="271"/>
      <c r="D53" s="271"/>
      <c r="E53" s="271"/>
      <c r="F53" s="271"/>
      <c r="G53" s="271"/>
      <c r="H53" s="271"/>
      <c r="I53" s="334" t="str">
        <f t="shared" si="0"/>
        <v/>
      </c>
      <c r="J53" s="270" t="str">
        <f t="shared" si="1"/>
        <v/>
      </c>
      <c r="K53" s="335"/>
      <c r="L53" s="336"/>
      <c r="M53" s="338"/>
    </row>
    <row r="54" spans="2:13">
      <c r="B54" s="271"/>
      <c r="C54" s="271"/>
      <c r="D54" s="271"/>
      <c r="E54" s="271"/>
      <c r="F54" s="271"/>
      <c r="G54" s="271"/>
      <c r="H54" s="271"/>
      <c r="I54" s="334" t="str">
        <f t="shared" si="0"/>
        <v/>
      </c>
      <c r="J54" s="270" t="str">
        <f t="shared" si="1"/>
        <v/>
      </c>
      <c r="K54" s="335"/>
      <c r="L54" s="336"/>
      <c r="M54" s="338"/>
    </row>
    <row r="55" spans="2:13">
      <c r="B55" s="271"/>
      <c r="C55" s="271"/>
      <c r="D55" s="271"/>
      <c r="E55" s="271"/>
      <c r="F55" s="271"/>
      <c r="G55" s="271"/>
      <c r="H55" s="271"/>
      <c r="I55" s="334" t="str">
        <f t="shared" si="0"/>
        <v/>
      </c>
      <c r="J55" s="270" t="str">
        <f t="shared" si="1"/>
        <v/>
      </c>
      <c r="K55" s="335"/>
      <c r="L55" s="336"/>
      <c r="M55" s="338"/>
    </row>
    <row r="56" spans="2:13">
      <c r="B56" s="271"/>
      <c r="C56" s="271"/>
      <c r="D56" s="271"/>
      <c r="E56" s="271"/>
      <c r="F56" s="271"/>
      <c r="G56" s="271"/>
      <c r="H56" s="271"/>
      <c r="I56" s="334" t="str">
        <f t="shared" si="0"/>
        <v/>
      </c>
      <c r="J56" s="270" t="str">
        <f t="shared" si="1"/>
        <v/>
      </c>
      <c r="K56" s="335"/>
      <c r="L56" s="336"/>
      <c r="M56" s="338"/>
    </row>
    <row r="57" spans="2:13">
      <c r="B57" s="271"/>
      <c r="C57" s="271"/>
      <c r="D57" s="271"/>
      <c r="E57" s="271"/>
      <c r="F57" s="271"/>
      <c r="G57" s="271"/>
      <c r="H57" s="271"/>
      <c r="I57" s="334" t="str">
        <f t="shared" si="0"/>
        <v/>
      </c>
      <c r="J57" s="270" t="str">
        <f t="shared" si="1"/>
        <v/>
      </c>
      <c r="K57" s="335"/>
      <c r="L57" s="336"/>
      <c r="M57" s="338"/>
    </row>
    <row r="58" spans="2:13">
      <c r="B58" s="271"/>
      <c r="C58" s="271"/>
      <c r="D58" s="271"/>
      <c r="E58" s="271"/>
      <c r="F58" s="271"/>
      <c r="G58" s="271"/>
      <c r="H58" s="271"/>
      <c r="I58" s="334" t="str">
        <f t="shared" si="0"/>
        <v/>
      </c>
      <c r="J58" s="270" t="str">
        <f t="shared" si="1"/>
        <v/>
      </c>
      <c r="K58" s="335"/>
      <c r="L58" s="336"/>
      <c r="M58" s="338"/>
    </row>
    <row r="59" spans="2:13">
      <c r="B59" s="271"/>
      <c r="C59" s="271"/>
      <c r="D59" s="271"/>
      <c r="E59" s="271"/>
      <c r="F59" s="271"/>
      <c r="G59" s="271"/>
      <c r="H59" s="271"/>
      <c r="I59" s="334" t="str">
        <f t="shared" si="0"/>
        <v/>
      </c>
      <c r="J59" s="270" t="str">
        <f t="shared" si="1"/>
        <v/>
      </c>
      <c r="K59" s="335"/>
      <c r="L59" s="336"/>
      <c r="M59" s="338"/>
    </row>
    <row r="60" spans="2:13">
      <c r="B60" s="271"/>
      <c r="C60" s="271"/>
      <c r="D60" s="271"/>
      <c r="E60" s="271"/>
      <c r="F60" s="271"/>
      <c r="G60" s="271"/>
      <c r="H60" s="271"/>
      <c r="I60" s="334" t="str">
        <f t="shared" si="0"/>
        <v/>
      </c>
      <c r="J60" s="270" t="str">
        <f t="shared" si="1"/>
        <v/>
      </c>
      <c r="K60" s="335"/>
      <c r="L60" s="336"/>
      <c r="M60" s="338"/>
    </row>
    <row r="61" spans="2:13">
      <c r="B61" s="271"/>
      <c r="C61" s="271"/>
      <c r="D61" s="271"/>
      <c r="E61" s="271"/>
      <c r="F61" s="271"/>
      <c r="G61" s="271"/>
      <c r="H61" s="271"/>
      <c r="I61" s="334" t="str">
        <f t="shared" si="0"/>
        <v/>
      </c>
      <c r="J61" s="270" t="str">
        <f t="shared" si="1"/>
        <v/>
      </c>
      <c r="K61" s="335"/>
      <c r="L61" s="336"/>
      <c r="M61" s="338"/>
    </row>
    <row r="62" spans="2:13">
      <c r="B62" s="271"/>
      <c r="C62" s="271"/>
      <c r="D62" s="271"/>
      <c r="E62" s="271"/>
      <c r="F62" s="271"/>
      <c r="G62" s="271"/>
      <c r="H62" s="271"/>
      <c r="I62" s="334" t="str">
        <f t="shared" si="0"/>
        <v/>
      </c>
      <c r="J62" s="270" t="str">
        <f t="shared" si="1"/>
        <v/>
      </c>
      <c r="K62" s="335"/>
      <c r="L62" s="336"/>
      <c r="M62" s="338"/>
    </row>
    <row r="63" spans="2:13">
      <c r="B63" s="271"/>
      <c r="C63" s="271"/>
      <c r="D63" s="271"/>
      <c r="E63" s="271"/>
      <c r="F63" s="271"/>
      <c r="G63" s="271"/>
      <c r="H63" s="271"/>
      <c r="I63" s="334" t="str">
        <f t="shared" si="0"/>
        <v/>
      </c>
      <c r="J63" s="270" t="str">
        <f t="shared" si="1"/>
        <v/>
      </c>
      <c r="K63" s="335"/>
      <c r="L63" s="336"/>
      <c r="M63" s="338"/>
    </row>
    <row r="64" spans="2:13">
      <c r="B64" s="271"/>
      <c r="C64" s="271"/>
      <c r="D64" s="271"/>
      <c r="E64" s="271"/>
      <c r="F64" s="271"/>
      <c r="G64" s="271"/>
      <c r="H64" s="271"/>
      <c r="I64" s="334" t="str">
        <f t="shared" si="0"/>
        <v/>
      </c>
      <c r="J64" s="270" t="str">
        <f t="shared" si="1"/>
        <v/>
      </c>
      <c r="K64" s="335"/>
      <c r="L64" s="336"/>
      <c r="M64" s="338"/>
    </row>
    <row r="65" spans="2:13">
      <c r="B65" s="271"/>
      <c r="C65" s="271"/>
      <c r="D65" s="271"/>
      <c r="E65" s="271"/>
      <c r="F65" s="271"/>
      <c r="G65" s="271"/>
      <c r="H65" s="271"/>
      <c r="I65" s="334" t="str">
        <f t="shared" si="0"/>
        <v/>
      </c>
      <c r="J65" s="270" t="str">
        <f t="shared" si="1"/>
        <v/>
      </c>
      <c r="K65" s="335"/>
      <c r="L65" s="336"/>
      <c r="M65" s="338"/>
    </row>
    <row r="66" spans="2:13">
      <c r="B66" s="271"/>
      <c r="C66" s="271"/>
      <c r="D66" s="271"/>
      <c r="E66" s="271"/>
      <c r="F66" s="271"/>
      <c r="G66" s="271"/>
      <c r="H66" s="271"/>
      <c r="I66" s="334" t="str">
        <f t="shared" si="0"/>
        <v/>
      </c>
      <c r="J66" s="270" t="str">
        <f t="shared" si="1"/>
        <v/>
      </c>
      <c r="K66" s="335"/>
      <c r="L66" s="336"/>
      <c r="M66" s="338"/>
    </row>
    <row r="67" spans="2:13">
      <c r="B67" s="271"/>
      <c r="C67" s="271"/>
      <c r="D67" s="271"/>
      <c r="E67" s="271"/>
      <c r="F67" s="271"/>
      <c r="G67" s="271"/>
      <c r="H67" s="271"/>
      <c r="I67" s="334" t="str">
        <f t="shared" si="0"/>
        <v/>
      </c>
      <c r="J67" s="270" t="str">
        <f t="shared" si="1"/>
        <v/>
      </c>
      <c r="K67" s="335"/>
      <c r="L67" s="336"/>
      <c r="M67" s="338"/>
    </row>
    <row r="68" spans="2:13">
      <c r="B68" s="271"/>
      <c r="C68" s="271"/>
      <c r="D68" s="271"/>
      <c r="E68" s="271"/>
      <c r="F68" s="271"/>
      <c r="G68" s="271"/>
      <c r="H68" s="271"/>
      <c r="I68" s="334" t="str">
        <f t="shared" si="0"/>
        <v/>
      </c>
      <c r="J68" s="270" t="str">
        <f t="shared" si="1"/>
        <v/>
      </c>
      <c r="K68" s="335"/>
      <c r="L68" s="336"/>
      <c r="M68" s="338"/>
    </row>
    <row r="69" spans="2:13">
      <c r="B69" s="271"/>
      <c r="C69" s="271"/>
      <c r="D69" s="271"/>
      <c r="E69" s="271"/>
      <c r="F69" s="271"/>
      <c r="G69" s="271"/>
      <c r="H69" s="271"/>
      <c r="I69" s="334" t="str">
        <f t="shared" si="0"/>
        <v/>
      </c>
      <c r="J69" s="270" t="str">
        <f t="shared" si="1"/>
        <v/>
      </c>
      <c r="K69" s="335"/>
      <c r="L69" s="336"/>
      <c r="M69" s="338"/>
    </row>
    <row r="70" spans="2:13">
      <c r="B70" s="271"/>
      <c r="C70" s="271"/>
      <c r="D70" s="271"/>
      <c r="E70" s="271"/>
      <c r="F70" s="271"/>
      <c r="G70" s="271"/>
      <c r="H70" s="271"/>
      <c r="I70" s="334" t="str">
        <f t="shared" si="0"/>
        <v/>
      </c>
      <c r="J70" s="270" t="str">
        <f t="shared" si="1"/>
        <v/>
      </c>
      <c r="K70" s="335"/>
      <c r="L70" s="336"/>
      <c r="M70" s="338"/>
    </row>
    <row r="71" spans="2:13">
      <c r="B71" s="271"/>
      <c r="C71" s="271"/>
      <c r="D71" s="271"/>
      <c r="E71" s="271"/>
      <c r="F71" s="271"/>
      <c r="G71" s="271"/>
      <c r="H71" s="271"/>
      <c r="I71" s="334" t="str">
        <f t="shared" si="0"/>
        <v/>
      </c>
      <c r="J71" s="270" t="str">
        <f t="shared" si="1"/>
        <v/>
      </c>
      <c r="K71" s="335"/>
      <c r="L71" s="336"/>
      <c r="M71" s="338"/>
    </row>
    <row r="72" spans="2:13">
      <c r="B72" s="271"/>
      <c r="C72" s="271"/>
      <c r="D72" s="271"/>
      <c r="E72" s="271"/>
      <c r="F72" s="271"/>
      <c r="G72" s="271"/>
      <c r="H72" s="271"/>
      <c r="I72" s="334" t="str">
        <f t="shared" si="0"/>
        <v/>
      </c>
      <c r="J72" s="270" t="str">
        <f t="shared" si="1"/>
        <v/>
      </c>
      <c r="K72" s="335"/>
      <c r="L72" s="336"/>
      <c r="M72" s="338"/>
    </row>
    <row r="73" spans="2:13">
      <c r="B73" s="271"/>
      <c r="C73" s="271"/>
      <c r="D73" s="271"/>
      <c r="E73" s="271"/>
      <c r="F73" s="271"/>
      <c r="G73" s="271"/>
      <c r="H73" s="271"/>
      <c r="I73" s="334" t="str">
        <f t="shared" si="0"/>
        <v/>
      </c>
      <c r="J73" s="270" t="str">
        <f t="shared" si="1"/>
        <v/>
      </c>
      <c r="K73" s="335"/>
      <c r="L73" s="336"/>
      <c r="M73" s="338"/>
    </row>
    <row r="74" spans="2:13">
      <c r="B74" s="271"/>
      <c r="C74" s="271"/>
      <c r="D74" s="271"/>
      <c r="E74" s="271"/>
      <c r="F74" s="271"/>
      <c r="G74" s="271"/>
      <c r="H74" s="271"/>
      <c r="I74" s="334" t="str">
        <f t="shared" si="0"/>
        <v/>
      </c>
      <c r="J74" s="270" t="str">
        <f t="shared" si="1"/>
        <v/>
      </c>
      <c r="K74" s="335"/>
      <c r="L74" s="336"/>
      <c r="M74" s="338"/>
    </row>
    <row r="75" spans="2:13">
      <c r="B75" s="271"/>
      <c r="C75" s="271"/>
      <c r="D75" s="271"/>
      <c r="E75" s="271"/>
      <c r="F75" s="271"/>
      <c r="G75" s="271"/>
      <c r="H75" s="271"/>
      <c r="I75" s="334" t="str">
        <f t="shared" si="0"/>
        <v/>
      </c>
      <c r="J75" s="270" t="str">
        <f t="shared" si="1"/>
        <v/>
      </c>
      <c r="K75" s="335"/>
      <c r="L75" s="336"/>
      <c r="M75" s="338"/>
    </row>
    <row r="76" spans="2:13">
      <c r="B76" s="271"/>
      <c r="C76" s="271"/>
      <c r="D76" s="271"/>
      <c r="E76" s="271"/>
      <c r="F76" s="271"/>
      <c r="G76" s="271"/>
      <c r="H76" s="271"/>
      <c r="I76" s="334" t="str">
        <f t="shared" si="0"/>
        <v/>
      </c>
      <c r="J76" s="270" t="str">
        <f t="shared" si="1"/>
        <v/>
      </c>
      <c r="K76" s="335"/>
      <c r="L76" s="336"/>
      <c r="M76" s="338"/>
    </row>
    <row r="77" spans="2:13">
      <c r="B77" s="271"/>
      <c r="C77" s="271"/>
      <c r="D77" s="271"/>
      <c r="E77" s="271"/>
      <c r="F77" s="271"/>
      <c r="G77" s="271"/>
      <c r="H77" s="271"/>
      <c r="I77" s="334" t="str">
        <f t="shared" si="0"/>
        <v/>
      </c>
      <c r="J77" s="270" t="str">
        <f t="shared" si="1"/>
        <v/>
      </c>
      <c r="K77" s="335"/>
      <c r="L77" s="336"/>
      <c r="M77" s="338"/>
    </row>
    <row r="78" spans="2:13">
      <c r="B78" s="271"/>
      <c r="C78" s="271"/>
      <c r="D78" s="271"/>
      <c r="E78" s="271"/>
      <c r="F78" s="271"/>
      <c r="G78" s="271"/>
      <c r="H78" s="271"/>
      <c r="I78" s="334" t="str">
        <f t="shared" ref="I78:I141" si="2">IF(H78="Large","NRS",IF(H78="International","FRS",IF(H78="SME - Medium","SME",IF(H78="SME - Micro","SME",IF(H78="SME - Small","SME","")))))</f>
        <v/>
      </c>
      <c r="J78" s="270" t="str">
        <f t="shared" ref="J78:J141" si="3">IF(B78="","","No")</f>
        <v/>
      </c>
      <c r="K78" s="335"/>
      <c r="L78" s="336"/>
      <c r="M78" s="338"/>
    </row>
    <row r="79" spans="2:13">
      <c r="B79" s="271"/>
      <c r="C79" s="271"/>
      <c r="D79" s="271"/>
      <c r="E79" s="271"/>
      <c r="F79" s="271"/>
      <c r="G79" s="271"/>
      <c r="H79" s="271"/>
      <c r="I79" s="334" t="str">
        <f t="shared" si="2"/>
        <v/>
      </c>
      <c r="J79" s="270" t="str">
        <f t="shared" si="3"/>
        <v/>
      </c>
      <c r="K79" s="335"/>
      <c r="L79" s="336"/>
      <c r="M79" s="338"/>
    </row>
    <row r="80" spans="2:13">
      <c r="B80" s="271"/>
      <c r="C80" s="271"/>
      <c r="D80" s="271"/>
      <c r="E80" s="271"/>
      <c r="F80" s="271"/>
      <c r="G80" s="271"/>
      <c r="H80" s="271"/>
      <c r="I80" s="334" t="str">
        <f t="shared" si="2"/>
        <v/>
      </c>
      <c r="J80" s="270" t="str">
        <f t="shared" si="3"/>
        <v/>
      </c>
      <c r="K80" s="335"/>
      <c r="L80" s="336"/>
      <c r="M80" s="338"/>
    </row>
    <row r="81" spans="2:13">
      <c r="B81" s="271"/>
      <c r="C81" s="271"/>
      <c r="D81" s="271"/>
      <c r="E81" s="271"/>
      <c r="F81" s="271"/>
      <c r="G81" s="271"/>
      <c r="H81" s="271"/>
      <c r="I81" s="334" t="str">
        <f t="shared" si="2"/>
        <v/>
      </c>
      <c r="J81" s="270" t="str">
        <f t="shared" si="3"/>
        <v/>
      </c>
      <c r="K81" s="335"/>
      <c r="L81" s="336"/>
      <c r="M81" s="338"/>
    </row>
    <row r="82" spans="2:13">
      <c r="B82" s="271"/>
      <c r="C82" s="271"/>
      <c r="D82" s="271"/>
      <c r="E82" s="271"/>
      <c r="F82" s="271"/>
      <c r="G82" s="271"/>
      <c r="H82" s="271"/>
      <c r="I82" s="334" t="str">
        <f t="shared" si="2"/>
        <v/>
      </c>
      <c r="J82" s="270" t="str">
        <f t="shared" si="3"/>
        <v/>
      </c>
      <c r="K82" s="335"/>
      <c r="L82" s="336"/>
      <c r="M82" s="338"/>
    </row>
    <row r="83" spans="2:13">
      <c r="B83" s="271"/>
      <c r="C83" s="271"/>
      <c r="D83" s="271"/>
      <c r="E83" s="271"/>
      <c r="F83" s="271"/>
      <c r="G83" s="271"/>
      <c r="H83" s="271"/>
      <c r="I83" s="334" t="str">
        <f t="shared" si="2"/>
        <v/>
      </c>
      <c r="J83" s="270" t="str">
        <f t="shared" si="3"/>
        <v/>
      </c>
      <c r="K83" s="335"/>
      <c r="L83" s="336"/>
      <c r="M83" s="338"/>
    </row>
    <row r="84" spans="2:13">
      <c r="B84" s="271"/>
      <c r="C84" s="271"/>
      <c r="D84" s="271"/>
      <c r="E84" s="271"/>
      <c r="F84" s="271"/>
      <c r="G84" s="271"/>
      <c r="H84" s="271"/>
      <c r="I84" s="334" t="str">
        <f t="shared" si="2"/>
        <v/>
      </c>
      <c r="J84" s="270" t="str">
        <f t="shared" si="3"/>
        <v/>
      </c>
      <c r="K84" s="335"/>
      <c r="L84" s="336"/>
      <c r="M84" s="338"/>
    </row>
    <row r="85" spans="2:13">
      <c r="B85" s="271"/>
      <c r="C85" s="271"/>
      <c r="D85" s="271"/>
      <c r="E85" s="271"/>
      <c r="F85" s="271"/>
      <c r="G85" s="271"/>
      <c r="H85" s="271"/>
      <c r="I85" s="334" t="str">
        <f t="shared" si="2"/>
        <v/>
      </c>
      <c r="J85" s="270" t="str">
        <f t="shared" si="3"/>
        <v/>
      </c>
      <c r="K85" s="335"/>
      <c r="L85" s="336"/>
      <c r="M85" s="338"/>
    </row>
    <row r="86" spans="2:13">
      <c r="B86" s="271"/>
      <c r="C86" s="271"/>
      <c r="D86" s="271"/>
      <c r="E86" s="271"/>
      <c r="F86" s="271"/>
      <c r="G86" s="271"/>
      <c r="H86" s="271"/>
      <c r="I86" s="334" t="str">
        <f t="shared" si="2"/>
        <v/>
      </c>
      <c r="J86" s="270" t="str">
        <f t="shared" si="3"/>
        <v/>
      </c>
      <c r="K86" s="335"/>
      <c r="L86" s="336"/>
      <c r="M86" s="338"/>
    </row>
    <row r="87" spans="2:13">
      <c r="B87" s="271"/>
      <c r="C87" s="271"/>
      <c r="D87" s="271"/>
      <c r="E87" s="271"/>
      <c r="F87" s="271"/>
      <c r="G87" s="271"/>
      <c r="H87" s="271"/>
      <c r="I87" s="334" t="str">
        <f t="shared" si="2"/>
        <v/>
      </c>
      <c r="J87" s="270" t="str">
        <f t="shared" si="3"/>
        <v/>
      </c>
      <c r="K87" s="335"/>
      <c r="L87" s="336"/>
      <c r="M87" s="338"/>
    </row>
    <row r="88" spans="2:13">
      <c r="B88" s="271"/>
      <c r="C88" s="271"/>
      <c r="D88" s="271"/>
      <c r="E88" s="271"/>
      <c r="F88" s="271"/>
      <c r="G88" s="271"/>
      <c r="H88" s="271"/>
      <c r="I88" s="334" t="str">
        <f t="shared" si="2"/>
        <v/>
      </c>
      <c r="J88" s="270" t="str">
        <f t="shared" si="3"/>
        <v/>
      </c>
      <c r="K88" s="335"/>
      <c r="L88" s="336"/>
      <c r="M88" s="338"/>
    </row>
    <row r="89" spans="2:13">
      <c r="B89" s="271"/>
      <c r="C89" s="271"/>
      <c r="D89" s="271"/>
      <c r="E89" s="271"/>
      <c r="F89" s="271"/>
      <c r="G89" s="271"/>
      <c r="H89" s="271"/>
      <c r="I89" s="334" t="str">
        <f t="shared" si="2"/>
        <v/>
      </c>
      <c r="J89" s="270" t="str">
        <f t="shared" si="3"/>
        <v/>
      </c>
      <c r="K89" s="335"/>
      <c r="L89" s="336"/>
      <c r="M89" s="338"/>
    </row>
    <row r="90" spans="2:13">
      <c r="B90" s="271"/>
      <c r="C90" s="271"/>
      <c r="D90" s="271"/>
      <c r="E90" s="271"/>
      <c r="F90" s="271"/>
      <c r="G90" s="271"/>
      <c r="H90" s="271"/>
      <c r="I90" s="334" t="str">
        <f t="shared" si="2"/>
        <v/>
      </c>
      <c r="J90" s="270" t="str">
        <f t="shared" si="3"/>
        <v/>
      </c>
      <c r="K90" s="335"/>
      <c r="L90" s="336"/>
      <c r="M90" s="338"/>
    </row>
    <row r="91" spans="2:13">
      <c r="B91" s="271"/>
      <c r="C91" s="271"/>
      <c r="D91" s="271"/>
      <c r="E91" s="271"/>
      <c r="F91" s="271"/>
      <c r="G91" s="271"/>
      <c r="H91" s="271"/>
      <c r="I91" s="334" t="str">
        <f t="shared" si="2"/>
        <v/>
      </c>
      <c r="J91" s="270" t="str">
        <f t="shared" si="3"/>
        <v/>
      </c>
      <c r="K91" s="335"/>
      <c r="L91" s="336"/>
      <c r="M91" s="338"/>
    </row>
    <row r="92" spans="2:13">
      <c r="B92" s="271"/>
      <c r="C92" s="271"/>
      <c r="D92" s="271"/>
      <c r="E92" s="271"/>
      <c r="F92" s="271"/>
      <c r="G92" s="271"/>
      <c r="H92" s="271"/>
      <c r="I92" s="334" t="str">
        <f t="shared" si="2"/>
        <v/>
      </c>
      <c r="J92" s="270" t="str">
        <f t="shared" si="3"/>
        <v/>
      </c>
      <c r="K92" s="335"/>
      <c r="L92" s="336"/>
      <c r="M92" s="338"/>
    </row>
    <row r="93" spans="2:13">
      <c r="B93" s="271"/>
      <c r="C93" s="271"/>
      <c r="D93" s="271"/>
      <c r="E93" s="271"/>
      <c r="F93" s="271"/>
      <c r="G93" s="271"/>
      <c r="H93" s="271"/>
      <c r="I93" s="334" t="str">
        <f t="shared" si="2"/>
        <v/>
      </c>
      <c r="J93" s="270" t="str">
        <f t="shared" si="3"/>
        <v/>
      </c>
      <c r="K93" s="335"/>
      <c r="L93" s="336"/>
      <c r="M93" s="338"/>
    </row>
    <row r="94" spans="2:13">
      <c r="B94" s="271"/>
      <c r="C94" s="271"/>
      <c r="D94" s="271"/>
      <c r="E94" s="271"/>
      <c r="F94" s="271"/>
      <c r="G94" s="271"/>
      <c r="H94" s="271"/>
      <c r="I94" s="334" t="str">
        <f t="shared" si="2"/>
        <v/>
      </c>
      <c r="J94" s="270" t="str">
        <f t="shared" si="3"/>
        <v/>
      </c>
      <c r="K94" s="335"/>
      <c r="L94" s="336"/>
      <c r="M94" s="338"/>
    </row>
    <row r="95" spans="2:13">
      <c r="B95" s="271"/>
      <c r="C95" s="271"/>
      <c r="D95" s="271"/>
      <c r="E95" s="271"/>
      <c r="F95" s="271"/>
      <c r="G95" s="271"/>
      <c r="H95" s="271"/>
      <c r="I95" s="334" t="str">
        <f t="shared" si="2"/>
        <v/>
      </c>
      <c r="J95" s="270" t="str">
        <f t="shared" si="3"/>
        <v/>
      </c>
      <c r="K95" s="335"/>
      <c r="L95" s="336"/>
      <c r="M95" s="338"/>
    </row>
    <row r="96" spans="2:13">
      <c r="B96" s="271"/>
      <c r="C96" s="271"/>
      <c r="D96" s="271"/>
      <c r="E96" s="271"/>
      <c r="F96" s="271"/>
      <c r="G96" s="271"/>
      <c r="H96" s="271"/>
      <c r="I96" s="334" t="str">
        <f t="shared" si="2"/>
        <v/>
      </c>
      <c r="J96" s="270" t="str">
        <f t="shared" si="3"/>
        <v/>
      </c>
      <c r="K96" s="335"/>
      <c r="L96" s="336"/>
      <c r="M96" s="338"/>
    </row>
    <row r="97" spans="2:13">
      <c r="B97" s="271"/>
      <c r="C97" s="271"/>
      <c r="D97" s="271"/>
      <c r="E97" s="271"/>
      <c r="F97" s="271"/>
      <c r="G97" s="271"/>
      <c r="H97" s="271"/>
      <c r="I97" s="334" t="str">
        <f t="shared" si="2"/>
        <v/>
      </c>
      <c r="J97" s="270" t="str">
        <f t="shared" si="3"/>
        <v/>
      </c>
      <c r="K97" s="335"/>
      <c r="L97" s="336"/>
      <c r="M97" s="338"/>
    </row>
    <row r="98" spans="2:13">
      <c r="B98" s="271"/>
      <c r="C98" s="271"/>
      <c r="D98" s="271"/>
      <c r="E98" s="271"/>
      <c r="F98" s="271"/>
      <c r="G98" s="271"/>
      <c r="H98" s="271"/>
      <c r="I98" s="334" t="str">
        <f t="shared" si="2"/>
        <v/>
      </c>
      <c r="J98" s="270" t="str">
        <f t="shared" si="3"/>
        <v/>
      </c>
      <c r="K98" s="335"/>
      <c r="L98" s="336"/>
      <c r="M98" s="338"/>
    </row>
    <row r="99" spans="2:13">
      <c r="B99" s="271"/>
      <c r="C99" s="271"/>
      <c r="D99" s="271"/>
      <c r="E99" s="271"/>
      <c r="F99" s="271"/>
      <c r="G99" s="271"/>
      <c r="H99" s="271"/>
      <c r="I99" s="334" t="str">
        <f t="shared" si="2"/>
        <v/>
      </c>
      <c r="J99" s="270" t="str">
        <f t="shared" si="3"/>
        <v/>
      </c>
      <c r="K99" s="335"/>
      <c r="L99" s="336"/>
      <c r="M99" s="338"/>
    </row>
    <row r="100" spans="2:13">
      <c r="B100" s="271"/>
      <c r="C100" s="271"/>
      <c r="D100" s="271"/>
      <c r="E100" s="271"/>
      <c r="F100" s="271"/>
      <c r="G100" s="271"/>
      <c r="H100" s="271"/>
      <c r="I100" s="334" t="str">
        <f t="shared" si="2"/>
        <v/>
      </c>
      <c r="J100" s="270" t="str">
        <f t="shared" si="3"/>
        <v/>
      </c>
      <c r="K100" s="335"/>
      <c r="L100" s="336"/>
      <c r="M100" s="338"/>
    </row>
    <row r="101" spans="2:13">
      <c r="B101" s="271"/>
      <c r="C101" s="271"/>
      <c r="D101" s="271"/>
      <c r="E101" s="271"/>
      <c r="F101" s="271"/>
      <c r="G101" s="271"/>
      <c r="H101" s="271"/>
      <c r="I101" s="334" t="str">
        <f t="shared" si="2"/>
        <v/>
      </c>
      <c r="J101" s="270" t="str">
        <f t="shared" si="3"/>
        <v/>
      </c>
      <c r="K101" s="335"/>
      <c r="L101" s="336"/>
      <c r="M101" s="338"/>
    </row>
    <row r="102" spans="2:13">
      <c r="B102" s="271"/>
      <c r="C102" s="271"/>
      <c r="D102" s="271"/>
      <c r="E102" s="271"/>
      <c r="F102" s="271"/>
      <c r="G102" s="271"/>
      <c r="H102" s="271"/>
      <c r="I102" s="334" t="str">
        <f t="shared" si="2"/>
        <v/>
      </c>
      <c r="J102" s="270" t="str">
        <f t="shared" si="3"/>
        <v/>
      </c>
      <c r="K102" s="335"/>
      <c r="L102" s="336"/>
      <c r="M102" s="338"/>
    </row>
    <row r="103" spans="2:13">
      <c r="B103" s="271"/>
      <c r="C103" s="271"/>
      <c r="D103" s="271"/>
      <c r="E103" s="271"/>
      <c r="F103" s="271"/>
      <c r="G103" s="271"/>
      <c r="H103" s="271"/>
      <c r="I103" s="334" t="str">
        <f t="shared" si="2"/>
        <v/>
      </c>
      <c r="J103" s="270" t="str">
        <f t="shared" si="3"/>
        <v/>
      </c>
      <c r="K103" s="335"/>
      <c r="L103" s="336"/>
      <c r="M103" s="338"/>
    </row>
    <row r="104" spans="2:13">
      <c r="B104" s="271"/>
      <c r="C104" s="271"/>
      <c r="D104" s="271"/>
      <c r="E104" s="271"/>
      <c r="F104" s="271"/>
      <c r="G104" s="271"/>
      <c r="H104" s="271"/>
      <c r="I104" s="334" t="str">
        <f t="shared" si="2"/>
        <v/>
      </c>
      <c r="J104" s="270" t="str">
        <f t="shared" si="3"/>
        <v/>
      </c>
      <c r="K104" s="335"/>
      <c r="L104" s="336"/>
      <c r="M104" s="338"/>
    </row>
    <row r="105" spans="2:13">
      <c r="B105" s="271"/>
      <c r="C105" s="271"/>
      <c r="D105" s="271"/>
      <c r="E105" s="271"/>
      <c r="F105" s="271"/>
      <c r="G105" s="271"/>
      <c r="H105" s="271"/>
      <c r="I105" s="334" t="str">
        <f t="shared" si="2"/>
        <v/>
      </c>
      <c r="J105" s="270" t="str">
        <f t="shared" si="3"/>
        <v/>
      </c>
      <c r="K105" s="335"/>
      <c r="L105" s="336"/>
      <c r="M105" s="338"/>
    </row>
    <row r="106" spans="2:13">
      <c r="B106" s="271"/>
      <c r="C106" s="271"/>
      <c r="D106" s="271"/>
      <c r="E106" s="271"/>
      <c r="F106" s="271"/>
      <c r="G106" s="271"/>
      <c r="H106" s="271"/>
      <c r="I106" s="334" t="str">
        <f t="shared" si="2"/>
        <v/>
      </c>
      <c r="J106" s="270" t="str">
        <f t="shared" si="3"/>
        <v/>
      </c>
      <c r="K106" s="335"/>
      <c r="L106" s="336"/>
      <c r="M106" s="338"/>
    </row>
    <row r="107" spans="2:13">
      <c r="B107" s="271"/>
      <c r="C107" s="271"/>
      <c r="D107" s="271"/>
      <c r="E107" s="271"/>
      <c r="F107" s="271"/>
      <c r="G107" s="271"/>
      <c r="H107" s="271"/>
      <c r="I107" s="334" t="str">
        <f t="shared" si="2"/>
        <v/>
      </c>
      <c r="J107" s="270" t="str">
        <f t="shared" si="3"/>
        <v/>
      </c>
      <c r="K107" s="335"/>
      <c r="L107" s="336"/>
      <c r="M107" s="338"/>
    </row>
    <row r="108" spans="2:13">
      <c r="B108" s="271"/>
      <c r="C108" s="271"/>
      <c r="D108" s="271"/>
      <c r="E108" s="271"/>
      <c r="F108" s="271"/>
      <c r="G108" s="271"/>
      <c r="H108" s="271"/>
      <c r="I108" s="334" t="str">
        <f t="shared" si="2"/>
        <v/>
      </c>
      <c r="J108" s="270" t="str">
        <f t="shared" si="3"/>
        <v/>
      </c>
      <c r="K108" s="335"/>
      <c r="L108" s="336"/>
      <c r="M108" s="338"/>
    </row>
    <row r="109" spans="2:13">
      <c r="B109" s="271"/>
      <c r="C109" s="271"/>
      <c r="D109" s="271"/>
      <c r="E109" s="271"/>
      <c r="F109" s="271"/>
      <c r="G109" s="271"/>
      <c r="H109" s="271"/>
      <c r="I109" s="334" t="str">
        <f t="shared" si="2"/>
        <v/>
      </c>
      <c r="J109" s="270" t="str">
        <f t="shared" si="3"/>
        <v/>
      </c>
      <c r="K109" s="335"/>
      <c r="L109" s="336"/>
      <c r="M109" s="338"/>
    </row>
    <row r="110" spans="2:13">
      <c r="B110" s="271"/>
      <c r="C110" s="271"/>
      <c r="D110" s="271"/>
      <c r="E110" s="271"/>
      <c r="F110" s="271"/>
      <c r="G110" s="271"/>
      <c r="H110" s="271"/>
      <c r="I110" s="334" t="str">
        <f t="shared" si="2"/>
        <v/>
      </c>
      <c r="J110" s="270" t="str">
        <f t="shared" si="3"/>
        <v/>
      </c>
      <c r="K110" s="335"/>
      <c r="L110" s="336"/>
      <c r="M110" s="338"/>
    </row>
    <row r="111" spans="2:13">
      <c r="B111" s="271"/>
      <c r="C111" s="271"/>
      <c r="D111" s="271"/>
      <c r="E111" s="271"/>
      <c r="F111" s="271"/>
      <c r="G111" s="271"/>
      <c r="H111" s="271"/>
      <c r="I111" s="334" t="str">
        <f t="shared" si="2"/>
        <v/>
      </c>
      <c r="J111" s="270" t="str">
        <f t="shared" si="3"/>
        <v/>
      </c>
      <c r="K111" s="335"/>
      <c r="L111" s="336"/>
      <c r="M111" s="338"/>
    </row>
    <row r="112" spans="2:13">
      <c r="B112" s="271"/>
      <c r="C112" s="271"/>
      <c r="D112" s="271"/>
      <c r="E112" s="271"/>
      <c r="F112" s="271"/>
      <c r="G112" s="271"/>
      <c r="H112" s="271"/>
      <c r="I112" s="334" t="str">
        <f t="shared" si="2"/>
        <v/>
      </c>
      <c r="J112" s="270" t="str">
        <f t="shared" si="3"/>
        <v/>
      </c>
      <c r="K112" s="335"/>
      <c r="L112" s="336"/>
      <c r="M112" s="338"/>
    </row>
    <row r="113" spans="2:13">
      <c r="B113" s="271"/>
      <c r="C113" s="271"/>
      <c r="D113" s="271"/>
      <c r="E113" s="271"/>
      <c r="F113" s="271"/>
      <c r="G113" s="271"/>
      <c r="H113" s="271"/>
      <c r="I113" s="334" t="str">
        <f t="shared" si="2"/>
        <v/>
      </c>
      <c r="J113" s="270" t="str">
        <f t="shared" si="3"/>
        <v/>
      </c>
      <c r="K113" s="335"/>
      <c r="L113" s="336"/>
      <c r="M113" s="338"/>
    </row>
    <row r="114" spans="2:13">
      <c r="B114" s="271"/>
      <c r="C114" s="271"/>
      <c r="D114" s="271"/>
      <c r="E114" s="271"/>
      <c r="F114" s="271"/>
      <c r="G114" s="271"/>
      <c r="H114" s="271"/>
      <c r="I114" s="334" t="str">
        <f t="shared" si="2"/>
        <v/>
      </c>
      <c r="J114" s="270" t="str">
        <f t="shared" si="3"/>
        <v/>
      </c>
      <c r="K114" s="335"/>
      <c r="L114" s="336"/>
      <c r="M114" s="338"/>
    </row>
    <row r="115" spans="2:13">
      <c r="B115" s="271"/>
      <c r="C115" s="271"/>
      <c r="D115" s="271"/>
      <c r="E115" s="271"/>
      <c r="F115" s="271"/>
      <c r="G115" s="271"/>
      <c r="H115" s="271"/>
      <c r="I115" s="334" t="str">
        <f t="shared" si="2"/>
        <v/>
      </c>
      <c r="J115" s="270" t="str">
        <f t="shared" si="3"/>
        <v/>
      </c>
      <c r="K115" s="335"/>
      <c r="L115" s="336"/>
      <c r="M115" s="338"/>
    </row>
    <row r="116" spans="2:13">
      <c r="B116" s="271"/>
      <c r="C116" s="271"/>
      <c r="D116" s="271"/>
      <c r="E116" s="271"/>
      <c r="F116" s="271"/>
      <c r="G116" s="271"/>
      <c r="H116" s="271"/>
      <c r="I116" s="334" t="str">
        <f t="shared" si="2"/>
        <v/>
      </c>
      <c r="J116" s="270" t="str">
        <f t="shared" si="3"/>
        <v/>
      </c>
      <c r="K116" s="335"/>
      <c r="L116" s="336"/>
      <c r="M116" s="338"/>
    </row>
    <row r="117" spans="2:13">
      <c r="B117" s="271"/>
      <c r="C117" s="271"/>
      <c r="D117" s="271"/>
      <c r="E117" s="271"/>
      <c r="F117" s="271"/>
      <c r="G117" s="271"/>
      <c r="H117" s="271"/>
      <c r="I117" s="334" t="str">
        <f t="shared" si="2"/>
        <v/>
      </c>
      <c r="J117" s="270" t="str">
        <f t="shared" si="3"/>
        <v/>
      </c>
      <c r="K117" s="335"/>
      <c r="L117" s="336"/>
      <c r="M117" s="338"/>
    </row>
    <row r="118" spans="2:13">
      <c r="B118" s="271"/>
      <c r="C118" s="271"/>
      <c r="D118" s="271"/>
      <c r="E118" s="271"/>
      <c r="F118" s="271"/>
      <c r="G118" s="271"/>
      <c r="H118" s="271"/>
      <c r="I118" s="334" t="str">
        <f t="shared" si="2"/>
        <v/>
      </c>
      <c r="J118" s="270" t="str">
        <f t="shared" si="3"/>
        <v/>
      </c>
      <c r="K118" s="335"/>
      <c r="L118" s="336"/>
      <c r="M118" s="338"/>
    </row>
    <row r="119" spans="2:13">
      <c r="B119" s="271"/>
      <c r="C119" s="271"/>
      <c r="D119" s="271"/>
      <c r="E119" s="271"/>
      <c r="F119" s="271"/>
      <c r="G119" s="271"/>
      <c r="H119" s="271"/>
      <c r="I119" s="334" t="str">
        <f t="shared" si="2"/>
        <v/>
      </c>
      <c r="J119" s="270" t="str">
        <f t="shared" si="3"/>
        <v/>
      </c>
      <c r="K119" s="335"/>
      <c r="L119" s="336"/>
      <c r="M119" s="338"/>
    </row>
    <row r="120" spans="2:13">
      <c r="B120" s="271"/>
      <c r="C120" s="271"/>
      <c r="D120" s="271"/>
      <c r="E120" s="271"/>
      <c r="F120" s="271"/>
      <c r="G120" s="271"/>
      <c r="H120" s="271"/>
      <c r="I120" s="334" t="str">
        <f t="shared" si="2"/>
        <v/>
      </c>
      <c r="J120" s="270" t="str">
        <f t="shared" si="3"/>
        <v/>
      </c>
      <c r="K120" s="335"/>
      <c r="L120" s="336"/>
      <c r="M120" s="338"/>
    </row>
    <row r="121" spans="2:13">
      <c r="B121" s="271"/>
      <c r="C121" s="271"/>
      <c r="D121" s="271"/>
      <c r="E121" s="271"/>
      <c r="F121" s="271"/>
      <c r="G121" s="271"/>
      <c r="H121" s="271"/>
      <c r="I121" s="334" t="str">
        <f t="shared" si="2"/>
        <v/>
      </c>
      <c r="J121" s="270" t="str">
        <f t="shared" si="3"/>
        <v/>
      </c>
      <c r="K121" s="335"/>
      <c r="L121" s="336"/>
      <c r="M121" s="338"/>
    </row>
    <row r="122" spans="2:13">
      <c r="B122" s="271"/>
      <c r="C122" s="271"/>
      <c r="D122" s="271"/>
      <c r="E122" s="271"/>
      <c r="F122" s="271"/>
      <c r="G122" s="271"/>
      <c r="H122" s="271"/>
      <c r="I122" s="334" t="str">
        <f t="shared" si="2"/>
        <v/>
      </c>
      <c r="J122" s="270" t="str">
        <f t="shared" si="3"/>
        <v/>
      </c>
      <c r="K122" s="335"/>
      <c r="L122" s="336"/>
      <c r="M122" s="338"/>
    </row>
    <row r="123" spans="2:13">
      <c r="B123" s="271"/>
      <c r="C123" s="271"/>
      <c r="D123" s="271"/>
      <c r="E123" s="271"/>
      <c r="F123" s="271"/>
      <c r="G123" s="271"/>
      <c r="H123" s="271"/>
      <c r="I123" s="334" t="str">
        <f t="shared" si="2"/>
        <v/>
      </c>
      <c r="J123" s="270" t="str">
        <f t="shared" si="3"/>
        <v/>
      </c>
      <c r="K123" s="335"/>
      <c r="L123" s="336"/>
      <c r="M123" s="338"/>
    </row>
    <row r="124" spans="2:13">
      <c r="B124" s="271"/>
      <c r="C124" s="271"/>
      <c r="D124" s="271"/>
      <c r="E124" s="271"/>
      <c r="F124" s="271"/>
      <c r="G124" s="271"/>
      <c r="H124" s="271"/>
      <c r="I124" s="334" t="str">
        <f t="shared" si="2"/>
        <v/>
      </c>
      <c r="J124" s="270" t="str">
        <f t="shared" si="3"/>
        <v/>
      </c>
      <c r="K124" s="335"/>
      <c r="L124" s="336"/>
      <c r="M124" s="338"/>
    </row>
    <row r="125" spans="2:13">
      <c r="B125" s="271"/>
      <c r="C125" s="271"/>
      <c r="D125" s="271"/>
      <c r="E125" s="271"/>
      <c r="F125" s="271"/>
      <c r="G125" s="271"/>
      <c r="H125" s="271"/>
      <c r="I125" s="334" t="str">
        <f t="shared" si="2"/>
        <v/>
      </c>
      <c r="J125" s="270" t="str">
        <f t="shared" si="3"/>
        <v/>
      </c>
      <c r="K125" s="335"/>
      <c r="L125" s="336"/>
      <c r="M125" s="338"/>
    </row>
    <row r="126" spans="2:13">
      <c r="B126" s="271"/>
      <c r="C126" s="271"/>
      <c r="D126" s="271"/>
      <c r="E126" s="271"/>
      <c r="F126" s="271"/>
      <c r="G126" s="271"/>
      <c r="H126" s="271"/>
      <c r="I126" s="334" t="str">
        <f t="shared" si="2"/>
        <v/>
      </c>
      <c r="J126" s="270" t="str">
        <f t="shared" si="3"/>
        <v/>
      </c>
      <c r="K126" s="335"/>
      <c r="L126" s="336"/>
      <c r="M126" s="338"/>
    </row>
    <row r="127" spans="2:13">
      <c r="B127" s="271"/>
      <c r="C127" s="271"/>
      <c r="D127" s="271"/>
      <c r="E127" s="271"/>
      <c r="F127" s="271"/>
      <c r="G127" s="271"/>
      <c r="H127" s="271"/>
      <c r="I127" s="334" t="str">
        <f t="shared" si="2"/>
        <v/>
      </c>
      <c r="J127" s="270" t="str">
        <f t="shared" si="3"/>
        <v/>
      </c>
      <c r="K127" s="335"/>
      <c r="L127" s="336"/>
      <c r="M127" s="338"/>
    </row>
    <row r="128" spans="2:13">
      <c r="B128" s="271"/>
      <c r="C128" s="271"/>
      <c r="D128" s="271"/>
      <c r="E128" s="271"/>
      <c r="F128" s="271"/>
      <c r="G128" s="271"/>
      <c r="H128" s="271"/>
      <c r="I128" s="334" t="str">
        <f t="shared" si="2"/>
        <v/>
      </c>
      <c r="J128" s="270" t="str">
        <f t="shared" si="3"/>
        <v/>
      </c>
      <c r="K128" s="335"/>
      <c r="L128" s="336"/>
      <c r="M128" s="338"/>
    </row>
    <row r="129" spans="2:13">
      <c r="B129" s="271"/>
      <c r="C129" s="271"/>
      <c r="D129" s="271"/>
      <c r="E129" s="271"/>
      <c r="F129" s="271"/>
      <c r="G129" s="271"/>
      <c r="H129" s="271"/>
      <c r="I129" s="334" t="str">
        <f t="shared" si="2"/>
        <v/>
      </c>
      <c r="J129" s="270" t="str">
        <f t="shared" si="3"/>
        <v/>
      </c>
      <c r="K129" s="335"/>
      <c r="L129" s="336"/>
      <c r="M129" s="338"/>
    </row>
    <row r="130" spans="2:13">
      <c r="B130" s="271"/>
      <c r="C130" s="271"/>
      <c r="D130" s="271"/>
      <c r="E130" s="271"/>
      <c r="F130" s="271"/>
      <c r="G130" s="271"/>
      <c r="H130" s="271"/>
      <c r="I130" s="334" t="str">
        <f t="shared" si="2"/>
        <v/>
      </c>
      <c r="J130" s="270" t="str">
        <f t="shared" si="3"/>
        <v/>
      </c>
      <c r="K130" s="335"/>
      <c r="L130" s="336"/>
      <c r="M130" s="338"/>
    </row>
    <row r="131" spans="2:13">
      <c r="B131" s="271"/>
      <c r="C131" s="271"/>
      <c r="D131" s="271"/>
      <c r="E131" s="271"/>
      <c r="F131" s="271"/>
      <c r="G131" s="271"/>
      <c r="H131" s="271"/>
      <c r="I131" s="334" t="str">
        <f t="shared" si="2"/>
        <v/>
      </c>
      <c r="J131" s="270" t="str">
        <f t="shared" si="3"/>
        <v/>
      </c>
      <c r="K131" s="335"/>
      <c r="L131" s="336"/>
      <c r="M131" s="338"/>
    </row>
    <row r="132" spans="2:13">
      <c r="B132" s="271"/>
      <c r="C132" s="271"/>
      <c r="D132" s="271"/>
      <c r="E132" s="271"/>
      <c r="F132" s="271"/>
      <c r="G132" s="271"/>
      <c r="H132" s="271"/>
      <c r="I132" s="334" t="str">
        <f t="shared" si="2"/>
        <v/>
      </c>
      <c r="J132" s="270" t="str">
        <f t="shared" si="3"/>
        <v/>
      </c>
      <c r="K132" s="335"/>
      <c r="L132" s="336"/>
      <c r="M132" s="338"/>
    </row>
    <row r="133" spans="2:13">
      <c r="B133" s="271"/>
      <c r="C133" s="271"/>
      <c r="D133" s="271"/>
      <c r="E133" s="271"/>
      <c r="F133" s="271"/>
      <c r="G133" s="271"/>
      <c r="H133" s="271"/>
      <c r="I133" s="334" t="str">
        <f t="shared" si="2"/>
        <v/>
      </c>
      <c r="J133" s="270" t="str">
        <f t="shared" si="3"/>
        <v/>
      </c>
      <c r="K133" s="335"/>
      <c r="L133" s="336"/>
      <c r="M133" s="338"/>
    </row>
    <row r="134" spans="2:13">
      <c r="B134" s="271"/>
      <c r="C134" s="271"/>
      <c r="D134" s="271"/>
      <c r="E134" s="271"/>
      <c r="F134" s="271"/>
      <c r="G134" s="271"/>
      <c r="H134" s="271"/>
      <c r="I134" s="334" t="str">
        <f t="shared" si="2"/>
        <v/>
      </c>
      <c r="J134" s="270" t="str">
        <f t="shared" si="3"/>
        <v/>
      </c>
      <c r="K134" s="335"/>
      <c r="L134" s="336"/>
      <c r="M134" s="338"/>
    </row>
    <row r="135" spans="2:13">
      <c r="B135" s="271"/>
      <c r="C135" s="271"/>
      <c r="D135" s="271"/>
      <c r="E135" s="271"/>
      <c r="F135" s="271"/>
      <c r="G135" s="271"/>
      <c r="H135" s="271"/>
      <c r="I135" s="334" t="str">
        <f t="shared" si="2"/>
        <v/>
      </c>
      <c r="J135" s="270" t="str">
        <f t="shared" si="3"/>
        <v/>
      </c>
      <c r="K135" s="335"/>
      <c r="L135" s="336"/>
      <c r="M135" s="338"/>
    </row>
    <row r="136" spans="2:13">
      <c r="B136" s="271"/>
      <c r="C136" s="271"/>
      <c r="D136" s="271"/>
      <c r="E136" s="271"/>
      <c r="F136" s="271"/>
      <c r="G136" s="271"/>
      <c r="H136" s="271"/>
      <c r="I136" s="334" t="str">
        <f t="shared" si="2"/>
        <v/>
      </c>
      <c r="J136" s="270" t="str">
        <f t="shared" si="3"/>
        <v/>
      </c>
      <c r="K136" s="335"/>
      <c r="L136" s="336"/>
      <c r="M136" s="338"/>
    </row>
    <row r="137" spans="2:13">
      <c r="B137" s="271"/>
      <c r="C137" s="271"/>
      <c r="D137" s="271"/>
      <c r="E137" s="271"/>
      <c r="F137" s="271"/>
      <c r="G137" s="271"/>
      <c r="H137" s="271"/>
      <c r="I137" s="334" t="str">
        <f t="shared" si="2"/>
        <v/>
      </c>
      <c r="J137" s="270" t="str">
        <f t="shared" si="3"/>
        <v/>
      </c>
      <c r="K137" s="335"/>
      <c r="L137" s="336"/>
      <c r="M137" s="338"/>
    </row>
    <row r="138" spans="2:13">
      <c r="B138" s="271"/>
      <c r="C138" s="271"/>
      <c r="D138" s="271"/>
      <c r="E138" s="271"/>
      <c r="F138" s="271"/>
      <c r="G138" s="271"/>
      <c r="H138" s="271"/>
      <c r="I138" s="334" t="str">
        <f t="shared" si="2"/>
        <v/>
      </c>
      <c r="J138" s="270" t="str">
        <f t="shared" si="3"/>
        <v/>
      </c>
      <c r="K138" s="335"/>
      <c r="L138" s="336"/>
      <c r="M138" s="338"/>
    </row>
    <row r="139" spans="2:13">
      <c r="B139" s="271"/>
      <c r="C139" s="271"/>
      <c r="D139" s="271"/>
      <c r="E139" s="271"/>
      <c r="F139" s="271"/>
      <c r="G139" s="271"/>
      <c r="H139" s="271"/>
      <c r="I139" s="334" t="str">
        <f t="shared" si="2"/>
        <v/>
      </c>
      <c r="J139" s="270" t="str">
        <f t="shared" si="3"/>
        <v/>
      </c>
      <c r="K139" s="335"/>
      <c r="L139" s="336"/>
      <c r="M139" s="338"/>
    </row>
    <row r="140" spans="2:13">
      <c r="B140" s="271"/>
      <c r="C140" s="271"/>
      <c r="D140" s="271"/>
      <c r="E140" s="271"/>
      <c r="F140" s="271"/>
      <c r="G140" s="271"/>
      <c r="H140" s="271"/>
      <c r="I140" s="334" t="str">
        <f t="shared" si="2"/>
        <v/>
      </c>
      <c r="J140" s="270" t="str">
        <f t="shared" si="3"/>
        <v/>
      </c>
      <c r="K140" s="335"/>
      <c r="L140" s="336"/>
      <c r="M140" s="338"/>
    </row>
    <row r="141" spans="2:13">
      <c r="B141" s="271"/>
      <c r="C141" s="271"/>
      <c r="D141" s="271"/>
      <c r="E141" s="271"/>
      <c r="F141" s="271"/>
      <c r="G141" s="271"/>
      <c r="H141" s="271"/>
      <c r="I141" s="334" t="str">
        <f t="shared" si="2"/>
        <v/>
      </c>
      <c r="J141" s="270" t="str">
        <f t="shared" si="3"/>
        <v/>
      </c>
      <c r="K141" s="335"/>
      <c r="L141" s="336"/>
      <c r="M141" s="338"/>
    </row>
    <row r="142" spans="2:13">
      <c r="B142" s="271"/>
      <c r="C142" s="271"/>
      <c r="D142" s="271"/>
      <c r="E142" s="271"/>
      <c r="F142" s="271"/>
      <c r="G142" s="271"/>
      <c r="H142" s="271"/>
      <c r="I142" s="334" t="str">
        <f t="shared" ref="I142:I205" si="4">IF(H142="Large","NRS",IF(H142="International","FRS",IF(H142="SME - Medium","SME",IF(H142="SME - Micro","SME",IF(H142="SME - Small","SME","")))))</f>
        <v/>
      </c>
      <c r="J142" s="270" t="str">
        <f t="shared" ref="J142:J205" si="5">IF(B142="","","No")</f>
        <v/>
      </c>
      <c r="K142" s="335"/>
      <c r="L142" s="336"/>
      <c r="M142" s="338"/>
    </row>
    <row r="143" spans="2:13">
      <c r="B143" s="271"/>
      <c r="C143" s="271"/>
      <c r="D143" s="271"/>
      <c r="E143" s="271"/>
      <c r="F143" s="271"/>
      <c r="G143" s="271"/>
      <c r="H143" s="271"/>
      <c r="I143" s="334" t="str">
        <f t="shared" si="4"/>
        <v/>
      </c>
      <c r="J143" s="270" t="str">
        <f t="shared" si="5"/>
        <v/>
      </c>
      <c r="K143" s="335"/>
      <c r="L143" s="336"/>
      <c r="M143" s="338"/>
    </row>
    <row r="144" spans="2:13">
      <c r="B144" s="271"/>
      <c r="C144" s="271"/>
      <c r="D144" s="271"/>
      <c r="E144" s="271"/>
      <c r="F144" s="271"/>
      <c r="G144" s="271"/>
      <c r="H144" s="271"/>
      <c r="I144" s="334" t="str">
        <f t="shared" si="4"/>
        <v/>
      </c>
      <c r="J144" s="270" t="str">
        <f t="shared" si="5"/>
        <v/>
      </c>
      <c r="K144" s="335"/>
      <c r="L144" s="336"/>
      <c r="M144" s="338"/>
    </row>
    <row r="145" spans="2:13">
      <c r="B145" s="271"/>
      <c r="C145" s="271"/>
      <c r="D145" s="271"/>
      <c r="E145" s="271"/>
      <c r="F145" s="271"/>
      <c r="G145" s="271"/>
      <c r="H145" s="271"/>
      <c r="I145" s="334" t="str">
        <f t="shared" si="4"/>
        <v/>
      </c>
      <c r="J145" s="270" t="str">
        <f t="shared" si="5"/>
        <v/>
      </c>
      <c r="K145" s="335"/>
      <c r="L145" s="336"/>
      <c r="M145" s="338"/>
    </row>
    <row r="146" spans="2:13">
      <c r="B146" s="271"/>
      <c r="C146" s="271"/>
      <c r="D146" s="271"/>
      <c r="E146" s="271"/>
      <c r="F146" s="271"/>
      <c r="G146" s="271"/>
      <c r="H146" s="271"/>
      <c r="I146" s="334" t="str">
        <f t="shared" si="4"/>
        <v/>
      </c>
      <c r="J146" s="270" t="str">
        <f t="shared" si="5"/>
        <v/>
      </c>
      <c r="K146" s="335"/>
      <c r="L146" s="336"/>
      <c r="M146" s="338"/>
    </row>
    <row r="147" spans="2:13">
      <c r="B147" s="271"/>
      <c r="C147" s="271"/>
      <c r="D147" s="271"/>
      <c r="E147" s="271"/>
      <c r="F147" s="271"/>
      <c r="G147" s="271"/>
      <c r="H147" s="271"/>
      <c r="I147" s="334" t="str">
        <f t="shared" si="4"/>
        <v/>
      </c>
      <c r="J147" s="270" t="str">
        <f t="shared" si="5"/>
        <v/>
      </c>
      <c r="K147" s="335"/>
      <c r="L147" s="336"/>
      <c r="M147" s="338"/>
    </row>
    <row r="148" spans="2:13">
      <c r="B148" s="271"/>
      <c r="C148" s="271"/>
      <c r="D148" s="271"/>
      <c r="E148" s="271"/>
      <c r="F148" s="271"/>
      <c r="G148" s="271"/>
      <c r="H148" s="271"/>
      <c r="I148" s="334" t="str">
        <f t="shared" si="4"/>
        <v/>
      </c>
      <c r="J148" s="270" t="str">
        <f t="shared" si="5"/>
        <v/>
      </c>
      <c r="K148" s="335"/>
      <c r="L148" s="336"/>
      <c r="M148" s="338"/>
    </row>
    <row r="149" spans="2:13">
      <c r="B149" s="271"/>
      <c r="C149" s="271"/>
      <c r="D149" s="271"/>
      <c r="E149" s="271"/>
      <c r="F149" s="271"/>
      <c r="G149" s="271"/>
      <c r="H149" s="271"/>
      <c r="I149" s="334" t="str">
        <f t="shared" si="4"/>
        <v/>
      </c>
      <c r="J149" s="270" t="str">
        <f t="shared" si="5"/>
        <v/>
      </c>
      <c r="K149" s="335"/>
      <c r="L149" s="336"/>
      <c r="M149" s="338"/>
    </row>
    <row r="150" spans="2:13">
      <c r="B150" s="271"/>
      <c r="C150" s="271"/>
      <c r="D150" s="271"/>
      <c r="E150" s="271"/>
      <c r="F150" s="271"/>
      <c r="G150" s="271"/>
      <c r="H150" s="271"/>
      <c r="I150" s="334" t="str">
        <f t="shared" si="4"/>
        <v/>
      </c>
      <c r="J150" s="270" t="str">
        <f t="shared" si="5"/>
        <v/>
      </c>
      <c r="K150" s="335"/>
      <c r="L150" s="336"/>
      <c r="M150" s="338"/>
    </row>
    <row r="151" spans="2:13">
      <c r="B151" s="271"/>
      <c r="C151" s="271"/>
      <c r="D151" s="271"/>
      <c r="E151" s="271"/>
      <c r="F151" s="271"/>
      <c r="G151" s="271"/>
      <c r="H151" s="271"/>
      <c r="I151" s="334" t="str">
        <f t="shared" si="4"/>
        <v/>
      </c>
      <c r="J151" s="270" t="str">
        <f t="shared" si="5"/>
        <v/>
      </c>
      <c r="K151" s="335"/>
      <c r="L151" s="336"/>
      <c r="M151" s="338"/>
    </row>
    <row r="152" spans="2:13">
      <c r="B152" s="271"/>
      <c r="C152" s="271"/>
      <c r="D152" s="271"/>
      <c r="E152" s="271"/>
      <c r="F152" s="271"/>
      <c r="G152" s="271"/>
      <c r="H152" s="271"/>
      <c r="I152" s="334" t="str">
        <f t="shared" si="4"/>
        <v/>
      </c>
      <c r="J152" s="270" t="str">
        <f t="shared" si="5"/>
        <v/>
      </c>
      <c r="K152" s="335"/>
      <c r="L152" s="336"/>
      <c r="M152" s="338"/>
    </row>
    <row r="153" spans="2:13">
      <c r="B153" s="271"/>
      <c r="C153" s="271"/>
      <c r="D153" s="271"/>
      <c r="E153" s="271"/>
      <c r="F153" s="271"/>
      <c r="G153" s="271"/>
      <c r="H153" s="271"/>
      <c r="I153" s="334" t="str">
        <f t="shared" si="4"/>
        <v/>
      </c>
      <c r="J153" s="270" t="str">
        <f t="shared" si="5"/>
        <v/>
      </c>
      <c r="K153" s="335"/>
      <c r="L153" s="336"/>
      <c r="M153" s="338"/>
    </row>
    <row r="154" spans="2:13">
      <c r="B154" s="271"/>
      <c r="C154" s="271"/>
      <c r="D154" s="271"/>
      <c r="E154" s="271"/>
      <c r="F154" s="271"/>
      <c r="G154" s="271"/>
      <c r="H154" s="271"/>
      <c r="I154" s="334" t="str">
        <f t="shared" si="4"/>
        <v/>
      </c>
      <c r="J154" s="270" t="str">
        <f t="shared" si="5"/>
        <v/>
      </c>
      <c r="K154" s="335"/>
      <c r="L154" s="336"/>
      <c r="M154" s="338"/>
    </row>
    <row r="155" spans="2:13">
      <c r="B155" s="271"/>
      <c r="C155" s="271"/>
      <c r="D155" s="271"/>
      <c r="E155" s="271"/>
      <c r="F155" s="271"/>
      <c r="G155" s="271"/>
      <c r="H155" s="271"/>
      <c r="I155" s="334" t="str">
        <f t="shared" si="4"/>
        <v/>
      </c>
      <c r="J155" s="270" t="str">
        <f t="shared" si="5"/>
        <v/>
      </c>
      <c r="K155" s="335"/>
      <c r="L155" s="336"/>
      <c r="M155" s="338"/>
    </row>
    <row r="156" spans="2:13">
      <c r="B156" s="271"/>
      <c r="C156" s="271"/>
      <c r="D156" s="271"/>
      <c r="E156" s="271"/>
      <c r="F156" s="271"/>
      <c r="G156" s="271"/>
      <c r="H156" s="271"/>
      <c r="I156" s="334" t="str">
        <f t="shared" si="4"/>
        <v/>
      </c>
      <c r="J156" s="270" t="str">
        <f t="shared" si="5"/>
        <v/>
      </c>
      <c r="K156" s="335"/>
      <c r="L156" s="336"/>
      <c r="M156" s="338"/>
    </row>
    <row r="157" spans="2:13">
      <c r="B157" s="271"/>
      <c r="C157" s="271"/>
      <c r="D157" s="271"/>
      <c r="E157" s="271"/>
      <c r="F157" s="271"/>
      <c r="G157" s="271"/>
      <c r="H157" s="271"/>
      <c r="I157" s="334" t="str">
        <f t="shared" si="4"/>
        <v/>
      </c>
      <c r="J157" s="270" t="str">
        <f t="shared" si="5"/>
        <v/>
      </c>
      <c r="K157" s="335"/>
      <c r="L157" s="336"/>
      <c r="M157" s="338"/>
    </row>
    <row r="158" spans="2:13">
      <c r="B158" s="271"/>
      <c r="C158" s="271"/>
      <c r="D158" s="271"/>
      <c r="E158" s="271"/>
      <c r="F158" s="271"/>
      <c r="G158" s="271"/>
      <c r="H158" s="271"/>
      <c r="I158" s="334" t="str">
        <f t="shared" si="4"/>
        <v/>
      </c>
      <c r="J158" s="270" t="str">
        <f t="shared" si="5"/>
        <v/>
      </c>
      <c r="K158" s="335"/>
      <c r="L158" s="336"/>
      <c r="M158" s="338"/>
    </row>
    <row r="159" spans="2:13">
      <c r="B159" s="271"/>
      <c r="C159" s="271"/>
      <c r="D159" s="271"/>
      <c r="E159" s="271"/>
      <c r="F159" s="271"/>
      <c r="G159" s="271"/>
      <c r="H159" s="271"/>
      <c r="I159" s="334" t="str">
        <f t="shared" si="4"/>
        <v/>
      </c>
      <c r="J159" s="270" t="str">
        <f t="shared" si="5"/>
        <v/>
      </c>
      <c r="K159" s="335"/>
      <c r="L159" s="336"/>
      <c r="M159" s="338"/>
    </row>
    <row r="160" spans="2:13">
      <c r="B160" s="271"/>
      <c r="C160" s="271"/>
      <c r="D160" s="271"/>
      <c r="E160" s="271"/>
      <c r="F160" s="271"/>
      <c r="G160" s="271"/>
      <c r="H160" s="271"/>
      <c r="I160" s="334" t="str">
        <f t="shared" si="4"/>
        <v/>
      </c>
      <c r="J160" s="270" t="str">
        <f t="shared" si="5"/>
        <v/>
      </c>
      <c r="K160" s="335"/>
      <c r="L160" s="336"/>
      <c r="M160" s="338"/>
    </row>
    <row r="161" spans="2:13">
      <c r="B161" s="271"/>
      <c r="C161" s="271"/>
      <c r="D161" s="271"/>
      <c r="E161" s="271"/>
      <c r="F161" s="271"/>
      <c r="G161" s="271"/>
      <c r="H161" s="271"/>
      <c r="I161" s="334" t="str">
        <f t="shared" si="4"/>
        <v/>
      </c>
      <c r="J161" s="270" t="str">
        <f t="shared" si="5"/>
        <v/>
      </c>
      <c r="K161" s="335"/>
      <c r="L161" s="336"/>
      <c r="M161" s="338"/>
    </row>
    <row r="162" spans="2:13">
      <c r="B162" s="271"/>
      <c r="C162" s="271"/>
      <c r="D162" s="271"/>
      <c r="E162" s="271"/>
      <c r="F162" s="271"/>
      <c r="G162" s="271"/>
      <c r="H162" s="271"/>
      <c r="I162" s="334" t="str">
        <f t="shared" si="4"/>
        <v/>
      </c>
      <c r="J162" s="270" t="str">
        <f t="shared" si="5"/>
        <v/>
      </c>
      <c r="K162" s="335"/>
      <c r="L162" s="336"/>
      <c r="M162" s="338"/>
    </row>
    <row r="163" spans="2:13">
      <c r="B163" s="271"/>
      <c r="C163" s="271"/>
      <c r="D163" s="271"/>
      <c r="E163" s="271"/>
      <c r="F163" s="271"/>
      <c r="G163" s="271"/>
      <c r="H163" s="271"/>
      <c r="I163" s="334" t="str">
        <f t="shared" si="4"/>
        <v/>
      </c>
      <c r="J163" s="270" t="str">
        <f t="shared" si="5"/>
        <v/>
      </c>
      <c r="K163" s="335"/>
      <c r="L163" s="336"/>
      <c r="M163" s="338"/>
    </row>
    <row r="164" spans="2:13">
      <c r="B164" s="271"/>
      <c r="C164" s="271"/>
      <c r="D164" s="271"/>
      <c r="E164" s="271"/>
      <c r="F164" s="271"/>
      <c r="G164" s="271"/>
      <c r="H164" s="271"/>
      <c r="I164" s="334" t="str">
        <f t="shared" si="4"/>
        <v/>
      </c>
      <c r="J164" s="270" t="str">
        <f t="shared" si="5"/>
        <v/>
      </c>
      <c r="K164" s="335"/>
      <c r="L164" s="336"/>
      <c r="M164" s="338"/>
    </row>
    <row r="165" spans="2:13">
      <c r="B165" s="271"/>
      <c r="C165" s="271"/>
      <c r="D165" s="271"/>
      <c r="E165" s="271"/>
      <c r="F165" s="271"/>
      <c r="G165" s="271"/>
      <c r="H165" s="271"/>
      <c r="I165" s="334" t="str">
        <f t="shared" si="4"/>
        <v/>
      </c>
      <c r="J165" s="270" t="str">
        <f t="shared" si="5"/>
        <v/>
      </c>
      <c r="K165" s="335"/>
      <c r="L165" s="336"/>
      <c r="M165" s="338"/>
    </row>
    <row r="166" spans="2:13">
      <c r="B166" s="271"/>
      <c r="C166" s="271"/>
      <c r="D166" s="271"/>
      <c r="E166" s="271"/>
      <c r="F166" s="271"/>
      <c r="G166" s="271"/>
      <c r="H166" s="271"/>
      <c r="I166" s="334" t="str">
        <f t="shared" si="4"/>
        <v/>
      </c>
      <c r="J166" s="270" t="str">
        <f t="shared" si="5"/>
        <v/>
      </c>
      <c r="K166" s="335"/>
      <c r="L166" s="336"/>
      <c r="M166" s="338"/>
    </row>
    <row r="167" spans="2:13">
      <c r="B167" s="271"/>
      <c r="C167" s="271"/>
      <c r="D167" s="271"/>
      <c r="E167" s="271"/>
      <c r="F167" s="271"/>
      <c r="G167" s="271"/>
      <c r="H167" s="271"/>
      <c r="I167" s="334" t="str">
        <f t="shared" si="4"/>
        <v/>
      </c>
      <c r="J167" s="270" t="str">
        <f t="shared" si="5"/>
        <v/>
      </c>
      <c r="K167" s="335"/>
      <c r="L167" s="336"/>
      <c r="M167" s="338"/>
    </row>
    <row r="168" spans="2:13">
      <c r="B168" s="271"/>
      <c r="C168" s="271"/>
      <c r="D168" s="271"/>
      <c r="E168" s="271"/>
      <c r="F168" s="271"/>
      <c r="G168" s="271"/>
      <c r="H168" s="271"/>
      <c r="I168" s="334" t="str">
        <f t="shared" si="4"/>
        <v/>
      </c>
      <c r="J168" s="270" t="str">
        <f t="shared" si="5"/>
        <v/>
      </c>
      <c r="K168" s="335"/>
      <c r="L168" s="336"/>
      <c r="M168" s="338"/>
    </row>
    <row r="169" spans="2:13">
      <c r="B169" s="271"/>
      <c r="C169" s="271"/>
      <c r="D169" s="271"/>
      <c r="E169" s="271"/>
      <c r="F169" s="271"/>
      <c r="G169" s="271"/>
      <c r="H169" s="271"/>
      <c r="I169" s="334" t="str">
        <f t="shared" si="4"/>
        <v/>
      </c>
      <c r="J169" s="270" t="str">
        <f t="shared" si="5"/>
        <v/>
      </c>
      <c r="K169" s="335"/>
      <c r="L169" s="336"/>
      <c r="M169" s="338"/>
    </row>
    <row r="170" spans="2:13">
      <c r="B170" s="271"/>
      <c r="C170" s="271"/>
      <c r="D170" s="271"/>
      <c r="E170" s="271"/>
      <c r="F170" s="271"/>
      <c r="G170" s="271"/>
      <c r="H170" s="271"/>
      <c r="I170" s="334" t="str">
        <f t="shared" si="4"/>
        <v/>
      </c>
      <c r="J170" s="270" t="str">
        <f t="shared" si="5"/>
        <v/>
      </c>
      <c r="K170" s="335"/>
      <c r="L170" s="336"/>
      <c r="M170" s="338"/>
    </row>
    <row r="171" spans="2:13">
      <c r="B171" s="271"/>
      <c r="C171" s="271"/>
      <c r="D171" s="271"/>
      <c r="E171" s="271"/>
      <c r="F171" s="271"/>
      <c r="G171" s="271"/>
      <c r="H171" s="271"/>
      <c r="I171" s="334" t="str">
        <f t="shared" si="4"/>
        <v/>
      </c>
      <c r="J171" s="270" t="str">
        <f t="shared" si="5"/>
        <v/>
      </c>
      <c r="K171" s="335"/>
      <c r="L171" s="336"/>
      <c r="M171" s="338"/>
    </row>
    <row r="172" spans="2:13">
      <c r="B172" s="271"/>
      <c r="C172" s="271"/>
      <c r="D172" s="271"/>
      <c r="E172" s="271"/>
      <c r="F172" s="271"/>
      <c r="G172" s="271"/>
      <c r="H172" s="271"/>
      <c r="I172" s="334" t="str">
        <f t="shared" si="4"/>
        <v/>
      </c>
      <c r="J172" s="270" t="str">
        <f t="shared" si="5"/>
        <v/>
      </c>
      <c r="K172" s="335"/>
      <c r="L172" s="336"/>
      <c r="M172" s="338"/>
    </row>
    <row r="173" spans="2:13">
      <c r="B173" s="271"/>
      <c r="C173" s="271"/>
      <c r="D173" s="271"/>
      <c r="E173" s="271"/>
      <c r="F173" s="271"/>
      <c r="G173" s="271"/>
      <c r="H173" s="271"/>
      <c r="I173" s="334" t="str">
        <f t="shared" si="4"/>
        <v/>
      </c>
      <c r="J173" s="270" t="str">
        <f t="shared" si="5"/>
        <v/>
      </c>
      <c r="K173" s="335"/>
      <c r="L173" s="336"/>
      <c r="M173" s="338"/>
    </row>
    <row r="174" spans="2:13">
      <c r="B174" s="271"/>
      <c r="C174" s="271"/>
      <c r="D174" s="271"/>
      <c r="E174" s="271"/>
      <c r="F174" s="271"/>
      <c r="G174" s="271"/>
      <c r="H174" s="271"/>
      <c r="I174" s="334" t="str">
        <f t="shared" si="4"/>
        <v/>
      </c>
      <c r="J174" s="270" t="str">
        <f t="shared" si="5"/>
        <v/>
      </c>
      <c r="K174" s="335"/>
      <c r="L174" s="336"/>
      <c r="M174" s="338"/>
    </row>
    <row r="175" spans="2:13">
      <c r="B175" s="271"/>
      <c r="C175" s="271"/>
      <c r="D175" s="271"/>
      <c r="E175" s="271"/>
      <c r="F175" s="271"/>
      <c r="G175" s="271"/>
      <c r="H175" s="271"/>
      <c r="I175" s="334" t="str">
        <f t="shared" si="4"/>
        <v/>
      </c>
      <c r="J175" s="270" t="str">
        <f t="shared" si="5"/>
        <v/>
      </c>
      <c r="K175" s="335"/>
      <c r="L175" s="336"/>
      <c r="M175" s="338"/>
    </row>
    <row r="176" spans="2:13">
      <c r="B176" s="271"/>
      <c r="C176" s="271"/>
      <c r="D176" s="271"/>
      <c r="E176" s="271"/>
      <c r="F176" s="271"/>
      <c r="G176" s="271"/>
      <c r="H176" s="271"/>
      <c r="I176" s="334" t="str">
        <f t="shared" si="4"/>
        <v/>
      </c>
      <c r="J176" s="270" t="str">
        <f t="shared" si="5"/>
        <v/>
      </c>
      <c r="K176" s="335"/>
      <c r="L176" s="336"/>
      <c r="M176" s="338"/>
    </row>
    <row r="177" spans="2:13">
      <c r="B177" s="271"/>
      <c r="C177" s="271"/>
      <c r="D177" s="271"/>
      <c r="E177" s="271"/>
      <c r="F177" s="271"/>
      <c r="G177" s="271"/>
      <c r="H177" s="271"/>
      <c r="I177" s="334" t="str">
        <f t="shared" si="4"/>
        <v/>
      </c>
      <c r="J177" s="270" t="str">
        <f t="shared" si="5"/>
        <v/>
      </c>
      <c r="K177" s="335"/>
      <c r="L177" s="336"/>
      <c r="M177" s="338"/>
    </row>
    <row r="178" spans="2:13">
      <c r="B178" s="271"/>
      <c r="C178" s="271"/>
      <c r="D178" s="271"/>
      <c r="E178" s="271"/>
      <c r="F178" s="271"/>
      <c r="G178" s="271"/>
      <c r="H178" s="271"/>
      <c r="I178" s="334" t="str">
        <f t="shared" si="4"/>
        <v/>
      </c>
      <c r="J178" s="270" t="str">
        <f t="shared" si="5"/>
        <v/>
      </c>
      <c r="K178" s="335"/>
      <c r="L178" s="336"/>
      <c r="M178" s="338"/>
    </row>
    <row r="179" spans="2:13">
      <c r="B179" s="271"/>
      <c r="C179" s="271"/>
      <c r="D179" s="271"/>
      <c r="E179" s="271"/>
      <c r="F179" s="271"/>
      <c r="G179" s="271"/>
      <c r="H179" s="271"/>
      <c r="I179" s="334" t="str">
        <f t="shared" si="4"/>
        <v/>
      </c>
      <c r="J179" s="270" t="str">
        <f t="shared" si="5"/>
        <v/>
      </c>
      <c r="K179" s="335"/>
      <c r="L179" s="336"/>
      <c r="M179" s="338"/>
    </row>
    <row r="180" spans="2:13">
      <c r="B180" s="271"/>
      <c r="C180" s="271"/>
      <c r="D180" s="271"/>
      <c r="E180" s="271"/>
      <c r="F180" s="271"/>
      <c r="G180" s="271"/>
      <c r="H180" s="271"/>
      <c r="I180" s="334" t="str">
        <f t="shared" si="4"/>
        <v/>
      </c>
      <c r="J180" s="270" t="str">
        <f t="shared" si="5"/>
        <v/>
      </c>
      <c r="K180" s="335"/>
      <c r="L180" s="336"/>
      <c r="M180" s="338"/>
    </row>
    <row r="181" spans="2:13">
      <c r="B181" s="271"/>
      <c r="C181" s="271"/>
      <c r="D181" s="271"/>
      <c r="E181" s="271"/>
      <c r="F181" s="271"/>
      <c r="G181" s="271"/>
      <c r="H181" s="271"/>
      <c r="I181" s="334" t="str">
        <f t="shared" si="4"/>
        <v/>
      </c>
      <c r="J181" s="270" t="str">
        <f t="shared" si="5"/>
        <v/>
      </c>
      <c r="K181" s="335"/>
      <c r="L181" s="336"/>
      <c r="M181" s="338"/>
    </row>
    <row r="182" spans="2:13">
      <c r="B182" s="271"/>
      <c r="C182" s="271"/>
      <c r="D182" s="271"/>
      <c r="E182" s="271"/>
      <c r="F182" s="271"/>
      <c r="G182" s="271"/>
      <c r="H182" s="271"/>
      <c r="I182" s="334" t="str">
        <f t="shared" si="4"/>
        <v/>
      </c>
      <c r="J182" s="270" t="str">
        <f t="shared" si="5"/>
        <v/>
      </c>
      <c r="K182" s="335"/>
      <c r="L182" s="336"/>
      <c r="M182" s="338"/>
    </row>
    <row r="183" spans="2:13">
      <c r="B183" s="271"/>
      <c r="C183" s="271"/>
      <c r="D183" s="271"/>
      <c r="E183" s="271"/>
      <c r="F183" s="271"/>
      <c r="G183" s="271"/>
      <c r="H183" s="271"/>
      <c r="I183" s="334" t="str">
        <f t="shared" si="4"/>
        <v/>
      </c>
      <c r="J183" s="270" t="str">
        <f t="shared" si="5"/>
        <v/>
      </c>
      <c r="K183" s="335"/>
      <c r="L183" s="336"/>
      <c r="M183" s="338"/>
    </row>
    <row r="184" spans="2:13">
      <c r="B184" s="271"/>
      <c r="C184" s="271"/>
      <c r="D184" s="271"/>
      <c r="E184" s="271"/>
      <c r="F184" s="271"/>
      <c r="G184" s="271"/>
      <c r="H184" s="271"/>
      <c r="I184" s="334" t="str">
        <f t="shared" si="4"/>
        <v/>
      </c>
      <c r="J184" s="270" t="str">
        <f t="shared" si="5"/>
        <v/>
      </c>
      <c r="K184" s="335"/>
      <c r="L184" s="336"/>
      <c r="M184" s="338"/>
    </row>
    <row r="185" spans="2:13">
      <c r="B185" s="271"/>
      <c r="C185" s="271"/>
      <c r="D185" s="271"/>
      <c r="E185" s="271"/>
      <c r="F185" s="271"/>
      <c r="G185" s="271"/>
      <c r="H185" s="271"/>
      <c r="I185" s="334" t="str">
        <f t="shared" si="4"/>
        <v/>
      </c>
      <c r="J185" s="270" t="str">
        <f t="shared" si="5"/>
        <v/>
      </c>
      <c r="K185" s="335"/>
      <c r="L185" s="336"/>
      <c r="M185" s="338"/>
    </row>
    <row r="186" spans="2:13">
      <c r="B186" s="271"/>
      <c r="C186" s="271"/>
      <c r="D186" s="271"/>
      <c r="E186" s="271"/>
      <c r="F186" s="271"/>
      <c r="G186" s="271"/>
      <c r="H186" s="271"/>
      <c r="I186" s="334" t="str">
        <f t="shared" si="4"/>
        <v/>
      </c>
      <c r="J186" s="270" t="str">
        <f t="shared" si="5"/>
        <v/>
      </c>
      <c r="K186" s="335"/>
      <c r="L186" s="336"/>
      <c r="M186" s="338"/>
    </row>
    <row r="187" spans="2:13">
      <c r="B187" s="271"/>
      <c r="C187" s="271"/>
      <c r="D187" s="271"/>
      <c r="E187" s="271"/>
      <c r="F187" s="271"/>
      <c r="G187" s="271"/>
      <c r="H187" s="271"/>
      <c r="I187" s="334" t="str">
        <f t="shared" si="4"/>
        <v/>
      </c>
      <c r="J187" s="270" t="str">
        <f t="shared" si="5"/>
        <v/>
      </c>
      <c r="K187" s="335"/>
      <c r="L187" s="336"/>
      <c r="M187" s="338"/>
    </row>
    <row r="188" spans="2:13">
      <c r="B188" s="271"/>
      <c r="C188" s="271"/>
      <c r="D188" s="271"/>
      <c r="E188" s="271"/>
      <c r="F188" s="271"/>
      <c r="G188" s="271"/>
      <c r="H188" s="271"/>
      <c r="I188" s="334" t="str">
        <f t="shared" si="4"/>
        <v/>
      </c>
      <c r="J188" s="270" t="str">
        <f t="shared" si="5"/>
        <v/>
      </c>
      <c r="K188" s="335"/>
      <c r="L188" s="336"/>
      <c r="M188" s="338"/>
    </row>
    <row r="189" spans="2:13">
      <c r="B189" s="271"/>
      <c r="C189" s="271"/>
      <c r="D189" s="271"/>
      <c r="E189" s="271"/>
      <c r="F189" s="271"/>
      <c r="G189" s="271"/>
      <c r="H189" s="271"/>
      <c r="I189" s="334" t="str">
        <f t="shared" si="4"/>
        <v/>
      </c>
      <c r="J189" s="270" t="str">
        <f t="shared" si="5"/>
        <v/>
      </c>
      <c r="K189" s="335"/>
      <c r="L189" s="336"/>
      <c r="M189" s="338"/>
    </row>
    <row r="190" spans="2:13">
      <c r="B190" s="271"/>
      <c r="C190" s="271"/>
      <c r="D190" s="271"/>
      <c r="E190" s="271"/>
      <c r="F190" s="271"/>
      <c r="G190" s="271"/>
      <c r="H190" s="271"/>
      <c r="I190" s="334" t="str">
        <f t="shared" si="4"/>
        <v/>
      </c>
      <c r="J190" s="270" t="str">
        <f t="shared" si="5"/>
        <v/>
      </c>
      <c r="K190" s="335"/>
      <c r="L190" s="336"/>
      <c r="M190" s="338"/>
    </row>
    <row r="191" spans="2:13">
      <c r="B191" s="271"/>
      <c r="C191" s="271"/>
      <c r="D191" s="271"/>
      <c r="E191" s="271"/>
      <c r="F191" s="271"/>
      <c r="G191" s="271"/>
      <c r="H191" s="271"/>
      <c r="I191" s="334" t="str">
        <f t="shared" si="4"/>
        <v/>
      </c>
      <c r="J191" s="270" t="str">
        <f t="shared" si="5"/>
        <v/>
      </c>
      <c r="K191" s="335"/>
      <c r="L191" s="336"/>
      <c r="M191" s="338"/>
    </row>
    <row r="192" spans="2:13">
      <c r="B192" s="271"/>
      <c r="C192" s="271"/>
      <c r="D192" s="271"/>
      <c r="E192" s="271"/>
      <c r="F192" s="271"/>
      <c r="G192" s="271"/>
      <c r="H192" s="271"/>
      <c r="I192" s="334" t="str">
        <f t="shared" si="4"/>
        <v/>
      </c>
      <c r="J192" s="270" t="str">
        <f t="shared" si="5"/>
        <v/>
      </c>
      <c r="K192" s="335"/>
      <c r="L192" s="336"/>
      <c r="M192" s="338"/>
    </row>
    <row r="193" spans="2:13">
      <c r="B193" s="271"/>
      <c r="C193" s="271"/>
      <c r="D193" s="271"/>
      <c r="E193" s="271"/>
      <c r="F193" s="271"/>
      <c r="G193" s="271"/>
      <c r="H193" s="271"/>
      <c r="I193" s="334" t="str">
        <f t="shared" si="4"/>
        <v/>
      </c>
      <c r="J193" s="270" t="str">
        <f t="shared" si="5"/>
        <v/>
      </c>
      <c r="K193" s="335"/>
      <c r="L193" s="336"/>
      <c r="M193" s="338"/>
    </row>
    <row r="194" spans="2:13">
      <c r="B194" s="271"/>
      <c r="C194" s="271"/>
      <c r="D194" s="271"/>
      <c r="E194" s="271"/>
      <c r="F194" s="271"/>
      <c r="G194" s="271"/>
      <c r="H194" s="271"/>
      <c r="I194" s="334" t="str">
        <f t="shared" si="4"/>
        <v/>
      </c>
      <c r="J194" s="270" t="str">
        <f t="shared" si="5"/>
        <v/>
      </c>
      <c r="K194" s="335"/>
      <c r="L194" s="336"/>
      <c r="M194" s="338"/>
    </row>
    <row r="195" spans="2:13">
      <c r="B195" s="271"/>
      <c r="C195" s="271"/>
      <c r="D195" s="271"/>
      <c r="E195" s="271"/>
      <c r="F195" s="271"/>
      <c r="G195" s="271"/>
      <c r="H195" s="271"/>
      <c r="I195" s="334" t="str">
        <f t="shared" si="4"/>
        <v/>
      </c>
      <c r="J195" s="270" t="str">
        <f t="shared" si="5"/>
        <v/>
      </c>
      <c r="K195" s="335"/>
      <c r="L195" s="336"/>
      <c r="M195" s="338"/>
    </row>
    <row r="196" spans="2:13">
      <c r="B196" s="271"/>
      <c r="C196" s="271"/>
      <c r="D196" s="271"/>
      <c r="E196" s="271"/>
      <c r="F196" s="271"/>
      <c r="G196" s="271"/>
      <c r="H196" s="271"/>
      <c r="I196" s="334" t="str">
        <f t="shared" si="4"/>
        <v/>
      </c>
      <c r="J196" s="270" t="str">
        <f t="shared" si="5"/>
        <v/>
      </c>
      <c r="K196" s="335"/>
      <c r="L196" s="336"/>
      <c r="M196" s="338"/>
    </row>
    <row r="197" spans="2:13">
      <c r="B197" s="271"/>
      <c r="C197" s="271"/>
      <c r="D197" s="271"/>
      <c r="E197" s="271"/>
      <c r="F197" s="271"/>
      <c r="G197" s="271"/>
      <c r="H197" s="271"/>
      <c r="I197" s="334" t="str">
        <f t="shared" si="4"/>
        <v/>
      </c>
      <c r="J197" s="270" t="str">
        <f t="shared" si="5"/>
        <v/>
      </c>
      <c r="K197" s="335"/>
      <c r="L197" s="336"/>
      <c r="M197" s="338"/>
    </row>
    <row r="198" spans="2:13">
      <c r="B198" s="271"/>
      <c r="C198" s="271"/>
      <c r="D198" s="271"/>
      <c r="E198" s="271"/>
      <c r="F198" s="271"/>
      <c r="G198" s="271"/>
      <c r="H198" s="271"/>
      <c r="I198" s="334" t="str">
        <f t="shared" si="4"/>
        <v/>
      </c>
      <c r="J198" s="270" t="str">
        <f t="shared" si="5"/>
        <v/>
      </c>
      <c r="K198" s="335"/>
      <c r="L198" s="336"/>
      <c r="M198" s="338"/>
    </row>
    <row r="199" spans="2:13">
      <c r="B199" s="271"/>
      <c r="C199" s="271"/>
      <c r="D199" s="271"/>
      <c r="E199" s="271"/>
      <c r="F199" s="271"/>
      <c r="G199" s="271"/>
      <c r="H199" s="271"/>
      <c r="I199" s="334" t="str">
        <f t="shared" si="4"/>
        <v/>
      </c>
      <c r="J199" s="270" t="str">
        <f t="shared" si="5"/>
        <v/>
      </c>
      <c r="K199" s="335"/>
      <c r="L199" s="336"/>
      <c r="M199" s="338"/>
    </row>
    <row r="200" spans="2:13">
      <c r="B200" s="271"/>
      <c r="C200" s="271"/>
      <c r="D200" s="271"/>
      <c r="E200" s="271"/>
      <c r="F200" s="271"/>
      <c r="G200" s="271"/>
      <c r="H200" s="271"/>
      <c r="I200" s="334" t="str">
        <f t="shared" si="4"/>
        <v/>
      </c>
      <c r="J200" s="270" t="str">
        <f t="shared" si="5"/>
        <v/>
      </c>
      <c r="K200" s="335"/>
      <c r="L200" s="336"/>
      <c r="M200" s="338"/>
    </row>
    <row r="201" spans="2:13">
      <c r="B201" s="271"/>
      <c r="C201" s="271"/>
      <c r="D201" s="271"/>
      <c r="E201" s="271"/>
      <c r="F201" s="271"/>
      <c r="G201" s="271"/>
      <c r="H201" s="271"/>
      <c r="I201" s="334" t="str">
        <f t="shared" si="4"/>
        <v/>
      </c>
      <c r="J201" s="270" t="str">
        <f t="shared" si="5"/>
        <v/>
      </c>
      <c r="K201" s="335"/>
      <c r="L201" s="336"/>
      <c r="M201" s="338"/>
    </row>
    <row r="202" spans="2:13">
      <c r="B202" s="271"/>
      <c r="C202" s="271"/>
      <c r="D202" s="271"/>
      <c r="E202" s="271"/>
      <c r="F202" s="271"/>
      <c r="G202" s="271"/>
      <c r="H202" s="271"/>
      <c r="I202" s="334" t="str">
        <f t="shared" si="4"/>
        <v/>
      </c>
      <c r="J202" s="270" t="str">
        <f t="shared" si="5"/>
        <v/>
      </c>
      <c r="K202" s="335"/>
      <c r="L202" s="336"/>
      <c r="M202" s="338"/>
    </row>
    <row r="203" spans="2:13">
      <c r="B203" s="271"/>
      <c r="C203" s="271"/>
      <c r="D203" s="271"/>
      <c r="E203" s="271"/>
      <c r="F203" s="271"/>
      <c r="G203" s="271"/>
      <c r="H203" s="271"/>
      <c r="I203" s="334" t="str">
        <f t="shared" si="4"/>
        <v/>
      </c>
      <c r="J203" s="270" t="str">
        <f t="shared" si="5"/>
        <v/>
      </c>
      <c r="K203" s="335"/>
      <c r="L203" s="336"/>
      <c r="M203" s="338"/>
    </row>
    <row r="204" spans="2:13">
      <c r="B204" s="271"/>
      <c r="C204" s="271"/>
      <c r="D204" s="271"/>
      <c r="E204" s="271"/>
      <c r="F204" s="271"/>
      <c r="G204" s="271"/>
      <c r="H204" s="271"/>
      <c r="I204" s="334" t="str">
        <f t="shared" si="4"/>
        <v/>
      </c>
      <c r="J204" s="270" t="str">
        <f t="shared" si="5"/>
        <v/>
      </c>
      <c r="K204" s="335"/>
      <c r="L204" s="336"/>
      <c r="M204" s="338"/>
    </row>
    <row r="205" spans="2:13">
      <c r="B205" s="271"/>
      <c r="C205" s="271"/>
      <c r="D205" s="271"/>
      <c r="E205" s="271"/>
      <c r="F205" s="271"/>
      <c r="G205" s="271"/>
      <c r="H205" s="271"/>
      <c r="I205" s="334" t="str">
        <f t="shared" si="4"/>
        <v/>
      </c>
      <c r="J205" s="270" t="str">
        <f t="shared" si="5"/>
        <v/>
      </c>
      <c r="K205" s="335"/>
      <c r="L205" s="336"/>
      <c r="M205" s="338"/>
    </row>
    <row r="206" spans="2:13">
      <c r="B206" s="271"/>
      <c r="C206" s="271"/>
      <c r="D206" s="271"/>
      <c r="E206" s="271"/>
      <c r="F206" s="271"/>
      <c r="G206" s="271"/>
      <c r="H206" s="271"/>
      <c r="I206" s="334" t="str">
        <f t="shared" ref="I206:I269" si="6">IF(H206="Large","NRS",IF(H206="International","FRS",IF(H206="SME - Medium","SME",IF(H206="SME - Micro","SME",IF(H206="SME - Small","SME","")))))</f>
        <v/>
      </c>
      <c r="J206" s="270" t="str">
        <f t="shared" ref="J206:J269" si="7">IF(B206="","","No")</f>
        <v/>
      </c>
      <c r="K206" s="335"/>
      <c r="L206" s="336"/>
      <c r="M206" s="338"/>
    </row>
    <row r="207" spans="2:13">
      <c r="B207" s="271"/>
      <c r="C207" s="271"/>
      <c r="D207" s="271"/>
      <c r="E207" s="271"/>
      <c r="F207" s="271"/>
      <c r="G207" s="271"/>
      <c r="H207" s="271"/>
      <c r="I207" s="334" t="str">
        <f t="shared" si="6"/>
        <v/>
      </c>
      <c r="J207" s="270" t="str">
        <f t="shared" si="7"/>
        <v/>
      </c>
      <c r="K207" s="335"/>
      <c r="L207" s="336"/>
      <c r="M207" s="338"/>
    </row>
    <row r="208" spans="2:13">
      <c r="B208" s="271"/>
      <c r="C208" s="271"/>
      <c r="D208" s="271"/>
      <c r="E208" s="271"/>
      <c r="F208" s="271"/>
      <c r="G208" s="271"/>
      <c r="H208" s="271"/>
      <c r="I208" s="334" t="str">
        <f t="shared" si="6"/>
        <v/>
      </c>
      <c r="J208" s="270" t="str">
        <f t="shared" si="7"/>
        <v/>
      </c>
      <c r="K208" s="335"/>
      <c r="L208" s="336"/>
      <c r="M208" s="338"/>
    </row>
    <row r="209" spans="2:13">
      <c r="B209" s="271"/>
      <c r="C209" s="271"/>
      <c r="D209" s="271"/>
      <c r="E209" s="271"/>
      <c r="F209" s="271"/>
      <c r="G209" s="271"/>
      <c r="H209" s="271"/>
      <c r="I209" s="334" t="str">
        <f t="shared" si="6"/>
        <v/>
      </c>
      <c r="J209" s="270" t="str">
        <f t="shared" si="7"/>
        <v/>
      </c>
      <c r="K209" s="335"/>
      <c r="L209" s="336"/>
      <c r="M209" s="338"/>
    </row>
    <row r="210" spans="2:13">
      <c r="B210" s="271"/>
      <c r="C210" s="271"/>
      <c r="D210" s="271"/>
      <c r="E210" s="271"/>
      <c r="F210" s="271"/>
      <c r="G210" s="271"/>
      <c r="H210" s="271"/>
      <c r="I210" s="334" t="str">
        <f t="shared" si="6"/>
        <v/>
      </c>
      <c r="J210" s="270" t="str">
        <f t="shared" si="7"/>
        <v/>
      </c>
      <c r="K210" s="335"/>
      <c r="L210" s="336"/>
      <c r="M210" s="338"/>
    </row>
    <row r="211" spans="2:13">
      <c r="B211" s="271"/>
      <c r="C211" s="271"/>
      <c r="D211" s="271"/>
      <c r="E211" s="271"/>
      <c r="F211" s="271"/>
      <c r="G211" s="271"/>
      <c r="H211" s="271"/>
      <c r="I211" s="334" t="str">
        <f t="shared" si="6"/>
        <v/>
      </c>
      <c r="J211" s="270" t="str">
        <f t="shared" si="7"/>
        <v/>
      </c>
      <c r="K211" s="335"/>
      <c r="L211" s="336"/>
      <c r="M211" s="338"/>
    </row>
    <row r="212" spans="2:13">
      <c r="B212" s="271"/>
      <c r="C212" s="271"/>
      <c r="D212" s="271"/>
      <c r="E212" s="271"/>
      <c r="F212" s="271"/>
      <c r="G212" s="271"/>
      <c r="H212" s="271"/>
      <c r="I212" s="334" t="str">
        <f t="shared" si="6"/>
        <v/>
      </c>
      <c r="J212" s="270" t="str">
        <f t="shared" si="7"/>
        <v/>
      </c>
      <c r="K212" s="335"/>
      <c r="L212" s="336"/>
      <c r="M212" s="338"/>
    </row>
    <row r="213" spans="2:13">
      <c r="B213" s="271"/>
      <c r="C213" s="271"/>
      <c r="D213" s="271"/>
      <c r="E213" s="271"/>
      <c r="F213" s="271"/>
      <c r="G213" s="271"/>
      <c r="H213" s="271"/>
      <c r="I213" s="334" t="str">
        <f t="shared" si="6"/>
        <v/>
      </c>
      <c r="J213" s="270" t="str">
        <f t="shared" si="7"/>
        <v/>
      </c>
      <c r="K213" s="335"/>
      <c r="L213" s="336"/>
      <c r="M213" s="338"/>
    </row>
    <row r="214" spans="2:13">
      <c r="B214" s="271"/>
      <c r="C214" s="271"/>
      <c r="D214" s="271"/>
      <c r="E214" s="271"/>
      <c r="F214" s="271"/>
      <c r="G214" s="271"/>
      <c r="H214" s="271"/>
      <c r="I214" s="334" t="str">
        <f t="shared" si="6"/>
        <v/>
      </c>
      <c r="J214" s="270" t="str">
        <f t="shared" si="7"/>
        <v/>
      </c>
      <c r="K214" s="335"/>
      <c r="L214" s="336"/>
      <c r="M214" s="338"/>
    </row>
    <row r="215" spans="2:13">
      <c r="B215" s="271"/>
      <c r="C215" s="271"/>
      <c r="D215" s="271"/>
      <c r="E215" s="271"/>
      <c r="F215" s="271"/>
      <c r="G215" s="271"/>
      <c r="H215" s="271"/>
      <c r="I215" s="334" t="str">
        <f t="shared" si="6"/>
        <v/>
      </c>
      <c r="J215" s="270" t="str">
        <f t="shared" si="7"/>
        <v/>
      </c>
      <c r="K215" s="335"/>
      <c r="L215" s="336"/>
      <c r="M215" s="338"/>
    </row>
    <row r="216" spans="2:13">
      <c r="B216" s="271"/>
      <c r="C216" s="271"/>
      <c r="D216" s="271"/>
      <c r="E216" s="271"/>
      <c r="F216" s="271"/>
      <c r="G216" s="271"/>
      <c r="H216" s="271"/>
      <c r="I216" s="334" t="str">
        <f t="shared" si="6"/>
        <v/>
      </c>
      <c r="J216" s="270" t="str">
        <f t="shared" si="7"/>
        <v/>
      </c>
      <c r="K216" s="335"/>
      <c r="L216" s="336"/>
      <c r="M216" s="338"/>
    </row>
    <row r="217" spans="2:13">
      <c r="B217" s="271"/>
      <c r="C217" s="271"/>
      <c r="D217" s="271"/>
      <c r="E217" s="271"/>
      <c r="F217" s="271"/>
      <c r="G217" s="271"/>
      <c r="H217" s="271"/>
      <c r="I217" s="334" t="str">
        <f t="shared" si="6"/>
        <v/>
      </c>
      <c r="J217" s="270" t="str">
        <f t="shared" si="7"/>
        <v/>
      </c>
      <c r="K217" s="335"/>
      <c r="L217" s="336"/>
      <c r="M217" s="338"/>
    </row>
    <row r="218" spans="2:13">
      <c r="B218" s="271"/>
      <c r="C218" s="271"/>
      <c r="D218" s="271"/>
      <c r="E218" s="271"/>
      <c r="F218" s="271"/>
      <c r="G218" s="271"/>
      <c r="H218" s="271"/>
      <c r="I218" s="334" t="str">
        <f t="shared" si="6"/>
        <v/>
      </c>
      <c r="J218" s="270" t="str">
        <f t="shared" si="7"/>
        <v/>
      </c>
      <c r="K218" s="335"/>
      <c r="L218" s="336"/>
      <c r="M218" s="338"/>
    </row>
    <row r="219" spans="2:13">
      <c r="B219" s="271"/>
      <c r="C219" s="271"/>
      <c r="D219" s="271"/>
      <c r="E219" s="271"/>
      <c r="F219" s="271"/>
      <c r="G219" s="271"/>
      <c r="H219" s="271"/>
      <c r="I219" s="334" t="str">
        <f t="shared" si="6"/>
        <v/>
      </c>
      <c r="J219" s="270" t="str">
        <f t="shared" si="7"/>
        <v/>
      </c>
      <c r="K219" s="335"/>
      <c r="L219" s="336"/>
      <c r="M219" s="338"/>
    </row>
    <row r="220" spans="2:13">
      <c r="B220" s="271"/>
      <c r="C220" s="271"/>
      <c r="D220" s="271"/>
      <c r="E220" s="271"/>
      <c r="F220" s="271"/>
      <c r="G220" s="271"/>
      <c r="H220" s="271"/>
      <c r="I220" s="334" t="str">
        <f t="shared" si="6"/>
        <v/>
      </c>
      <c r="J220" s="270" t="str">
        <f t="shared" si="7"/>
        <v/>
      </c>
      <c r="K220" s="335"/>
      <c r="L220" s="336"/>
      <c r="M220" s="338"/>
    </row>
    <row r="221" spans="2:13">
      <c r="B221" s="271"/>
      <c r="C221" s="271"/>
      <c r="D221" s="271"/>
      <c r="E221" s="271"/>
      <c r="F221" s="271"/>
      <c r="G221" s="271"/>
      <c r="H221" s="271"/>
      <c r="I221" s="334" t="str">
        <f t="shared" si="6"/>
        <v/>
      </c>
      <c r="J221" s="270" t="str">
        <f t="shared" si="7"/>
        <v/>
      </c>
      <c r="K221" s="335"/>
      <c r="L221" s="336"/>
      <c r="M221" s="338"/>
    </row>
    <row r="222" spans="2:13">
      <c r="B222" s="271"/>
      <c r="C222" s="271"/>
      <c r="D222" s="271"/>
      <c r="E222" s="271"/>
      <c r="F222" s="271"/>
      <c r="G222" s="271"/>
      <c r="H222" s="271"/>
      <c r="I222" s="334" t="str">
        <f t="shared" si="6"/>
        <v/>
      </c>
      <c r="J222" s="270" t="str">
        <f t="shared" si="7"/>
        <v/>
      </c>
      <c r="K222" s="335"/>
      <c r="L222" s="336"/>
      <c r="M222" s="338"/>
    </row>
    <row r="223" spans="2:13">
      <c r="B223" s="271"/>
      <c r="C223" s="271"/>
      <c r="D223" s="271"/>
      <c r="E223" s="271"/>
      <c r="F223" s="271"/>
      <c r="G223" s="271"/>
      <c r="H223" s="271"/>
      <c r="I223" s="334" t="str">
        <f t="shared" si="6"/>
        <v/>
      </c>
      <c r="J223" s="270" t="str">
        <f t="shared" si="7"/>
        <v/>
      </c>
      <c r="K223" s="335"/>
      <c r="L223" s="336"/>
      <c r="M223" s="338"/>
    </row>
    <row r="224" spans="2:13">
      <c r="B224" s="271"/>
      <c r="C224" s="271"/>
      <c r="D224" s="271"/>
      <c r="E224" s="271"/>
      <c r="F224" s="271"/>
      <c r="G224" s="271"/>
      <c r="H224" s="271"/>
      <c r="I224" s="334" t="str">
        <f t="shared" si="6"/>
        <v/>
      </c>
      <c r="J224" s="270" t="str">
        <f t="shared" si="7"/>
        <v/>
      </c>
      <c r="K224" s="335"/>
      <c r="L224" s="336"/>
      <c r="M224" s="338"/>
    </row>
    <row r="225" spans="2:13">
      <c r="B225" s="271"/>
      <c r="C225" s="271"/>
      <c r="D225" s="271"/>
      <c r="E225" s="271"/>
      <c r="F225" s="271"/>
      <c r="G225" s="271"/>
      <c r="H225" s="271"/>
      <c r="I225" s="334" t="str">
        <f t="shared" si="6"/>
        <v/>
      </c>
      <c r="J225" s="270" t="str">
        <f t="shared" si="7"/>
        <v/>
      </c>
      <c r="K225" s="335"/>
      <c r="L225" s="336"/>
      <c r="M225" s="338"/>
    </row>
    <row r="226" spans="2:13">
      <c r="B226" s="271"/>
      <c r="C226" s="271"/>
      <c r="D226" s="271"/>
      <c r="E226" s="271"/>
      <c r="F226" s="271"/>
      <c r="G226" s="271"/>
      <c r="H226" s="271"/>
      <c r="I226" s="334" t="str">
        <f t="shared" si="6"/>
        <v/>
      </c>
      <c r="J226" s="270" t="str">
        <f t="shared" si="7"/>
        <v/>
      </c>
      <c r="K226" s="335"/>
      <c r="L226" s="336"/>
      <c r="M226" s="338"/>
    </row>
    <row r="227" spans="2:13">
      <c r="B227" s="271"/>
      <c r="C227" s="271"/>
      <c r="D227" s="271"/>
      <c r="E227" s="271"/>
      <c r="F227" s="271"/>
      <c r="G227" s="271"/>
      <c r="H227" s="271"/>
      <c r="I227" s="334" t="str">
        <f t="shared" si="6"/>
        <v/>
      </c>
      <c r="J227" s="270" t="str">
        <f t="shared" si="7"/>
        <v/>
      </c>
      <c r="K227" s="335"/>
      <c r="L227" s="336"/>
      <c r="M227" s="338"/>
    </row>
    <row r="228" spans="2:13">
      <c r="B228" s="271"/>
      <c r="C228" s="271"/>
      <c r="D228" s="271"/>
      <c r="E228" s="271"/>
      <c r="F228" s="271"/>
      <c r="G228" s="271"/>
      <c r="H228" s="271"/>
      <c r="I228" s="334" t="str">
        <f t="shared" si="6"/>
        <v/>
      </c>
      <c r="J228" s="270" t="str">
        <f t="shared" si="7"/>
        <v/>
      </c>
      <c r="K228" s="335"/>
      <c r="L228" s="336"/>
      <c r="M228" s="338"/>
    </row>
    <row r="229" spans="2:13">
      <c r="B229" s="271"/>
      <c r="C229" s="271"/>
      <c r="D229" s="271"/>
      <c r="E229" s="271"/>
      <c r="F229" s="271"/>
      <c r="G229" s="271"/>
      <c r="H229" s="271"/>
      <c r="I229" s="334" t="str">
        <f t="shared" si="6"/>
        <v/>
      </c>
      <c r="J229" s="270" t="str">
        <f t="shared" si="7"/>
        <v/>
      </c>
      <c r="K229" s="335"/>
      <c r="L229" s="336"/>
      <c r="M229" s="338"/>
    </row>
    <row r="230" spans="2:13">
      <c r="B230" s="271"/>
      <c r="C230" s="271"/>
      <c r="D230" s="271"/>
      <c r="E230" s="271"/>
      <c r="F230" s="271"/>
      <c r="G230" s="271"/>
      <c r="H230" s="271"/>
      <c r="I230" s="334" t="str">
        <f t="shared" si="6"/>
        <v/>
      </c>
      <c r="J230" s="270" t="str">
        <f t="shared" si="7"/>
        <v/>
      </c>
      <c r="K230" s="335"/>
      <c r="L230" s="336"/>
      <c r="M230" s="338"/>
    </row>
    <row r="231" spans="2:13">
      <c r="B231" s="271"/>
      <c r="C231" s="271"/>
      <c r="D231" s="271"/>
      <c r="E231" s="271"/>
      <c r="F231" s="271"/>
      <c r="G231" s="271"/>
      <c r="H231" s="271"/>
      <c r="I231" s="334" t="str">
        <f t="shared" si="6"/>
        <v/>
      </c>
      <c r="J231" s="270" t="str">
        <f t="shared" si="7"/>
        <v/>
      </c>
      <c r="K231" s="335"/>
      <c r="L231" s="336"/>
      <c r="M231" s="338"/>
    </row>
    <row r="232" spans="2:13">
      <c r="B232" s="271"/>
      <c r="C232" s="271"/>
      <c r="D232" s="271"/>
      <c r="E232" s="271"/>
      <c r="F232" s="271"/>
      <c r="G232" s="271"/>
      <c r="H232" s="271"/>
      <c r="I232" s="334" t="str">
        <f t="shared" si="6"/>
        <v/>
      </c>
      <c r="J232" s="270" t="str">
        <f t="shared" si="7"/>
        <v/>
      </c>
      <c r="K232" s="335"/>
      <c r="L232" s="336"/>
      <c r="M232" s="338"/>
    </row>
    <row r="233" spans="2:13">
      <c r="B233" s="271"/>
      <c r="C233" s="271"/>
      <c r="D233" s="271"/>
      <c r="E233" s="271"/>
      <c r="F233" s="271"/>
      <c r="G233" s="271"/>
      <c r="H233" s="271"/>
      <c r="I233" s="334" t="str">
        <f t="shared" si="6"/>
        <v/>
      </c>
      <c r="J233" s="270" t="str">
        <f t="shared" si="7"/>
        <v/>
      </c>
      <c r="K233" s="335"/>
      <c r="L233" s="336"/>
      <c r="M233" s="338"/>
    </row>
    <row r="234" spans="2:13">
      <c r="B234" s="271"/>
      <c r="C234" s="271"/>
      <c r="D234" s="271"/>
      <c r="E234" s="271"/>
      <c r="F234" s="271"/>
      <c r="G234" s="271"/>
      <c r="H234" s="271"/>
      <c r="I234" s="334" t="str">
        <f t="shared" si="6"/>
        <v/>
      </c>
      <c r="J234" s="270" t="str">
        <f t="shared" si="7"/>
        <v/>
      </c>
      <c r="K234" s="335"/>
      <c r="L234" s="336"/>
      <c r="M234" s="338"/>
    </row>
    <row r="235" spans="2:13">
      <c r="B235" s="271"/>
      <c r="C235" s="271"/>
      <c r="D235" s="271"/>
      <c r="E235" s="271"/>
      <c r="F235" s="271"/>
      <c r="G235" s="271"/>
      <c r="H235" s="271"/>
      <c r="I235" s="334" t="str">
        <f t="shared" si="6"/>
        <v/>
      </c>
      <c r="J235" s="270" t="str">
        <f t="shared" si="7"/>
        <v/>
      </c>
      <c r="K235" s="335"/>
      <c r="L235" s="336"/>
      <c r="M235" s="338"/>
    </row>
    <row r="236" spans="2:13">
      <c r="B236" s="271"/>
      <c r="C236" s="271"/>
      <c r="D236" s="271"/>
      <c r="E236" s="271"/>
      <c r="F236" s="271"/>
      <c r="G236" s="271"/>
      <c r="H236" s="271"/>
      <c r="I236" s="334" t="str">
        <f t="shared" si="6"/>
        <v/>
      </c>
      <c r="J236" s="270" t="str">
        <f t="shared" si="7"/>
        <v/>
      </c>
      <c r="K236" s="335"/>
      <c r="L236" s="336"/>
      <c r="M236" s="338"/>
    </row>
    <row r="237" spans="2:13">
      <c r="B237" s="271"/>
      <c r="C237" s="271"/>
      <c r="D237" s="271"/>
      <c r="E237" s="271"/>
      <c r="F237" s="271"/>
      <c r="G237" s="271"/>
      <c r="H237" s="271"/>
      <c r="I237" s="334" t="str">
        <f t="shared" si="6"/>
        <v/>
      </c>
      <c r="J237" s="270" t="str">
        <f t="shared" si="7"/>
        <v/>
      </c>
      <c r="K237" s="335"/>
      <c r="L237" s="336"/>
      <c r="M237" s="338"/>
    </row>
    <row r="238" spans="2:13">
      <c r="B238" s="271"/>
      <c r="C238" s="271"/>
      <c r="D238" s="271"/>
      <c r="E238" s="271"/>
      <c r="F238" s="271"/>
      <c r="G238" s="271"/>
      <c r="H238" s="271"/>
      <c r="I238" s="334" t="str">
        <f t="shared" si="6"/>
        <v/>
      </c>
      <c r="J238" s="270" t="str">
        <f t="shared" si="7"/>
        <v/>
      </c>
      <c r="K238" s="335"/>
      <c r="L238" s="336"/>
      <c r="M238" s="338"/>
    </row>
    <row r="239" spans="2:13">
      <c r="B239" s="271"/>
      <c r="C239" s="271"/>
      <c r="D239" s="271"/>
      <c r="E239" s="271"/>
      <c r="F239" s="271"/>
      <c r="G239" s="271"/>
      <c r="H239" s="271"/>
      <c r="I239" s="334" t="str">
        <f t="shared" si="6"/>
        <v/>
      </c>
      <c r="J239" s="270" t="str">
        <f t="shared" si="7"/>
        <v/>
      </c>
      <c r="K239" s="335"/>
      <c r="L239" s="336"/>
      <c r="M239" s="338"/>
    </row>
    <row r="240" spans="2:13">
      <c r="B240" s="271"/>
      <c r="C240" s="271"/>
      <c r="D240" s="271"/>
      <c r="E240" s="271"/>
      <c r="F240" s="271"/>
      <c r="G240" s="271"/>
      <c r="H240" s="271"/>
      <c r="I240" s="334" t="str">
        <f t="shared" si="6"/>
        <v/>
      </c>
      <c r="J240" s="270" t="str">
        <f t="shared" si="7"/>
        <v/>
      </c>
      <c r="K240" s="335"/>
      <c r="L240" s="336"/>
      <c r="M240" s="338"/>
    </row>
    <row r="241" spans="2:13">
      <c r="B241" s="271"/>
      <c r="C241" s="271"/>
      <c r="D241" s="271"/>
      <c r="E241" s="271"/>
      <c r="F241" s="271"/>
      <c r="G241" s="271"/>
      <c r="H241" s="271"/>
      <c r="I241" s="334" t="str">
        <f t="shared" si="6"/>
        <v/>
      </c>
      <c r="J241" s="270" t="str">
        <f t="shared" si="7"/>
        <v/>
      </c>
      <c r="K241" s="335"/>
      <c r="L241" s="336"/>
      <c r="M241" s="338"/>
    </row>
    <row r="242" spans="2:13">
      <c r="B242" s="271"/>
      <c r="C242" s="271"/>
      <c r="D242" s="271"/>
      <c r="E242" s="271"/>
      <c r="F242" s="271"/>
      <c r="G242" s="271"/>
      <c r="H242" s="271"/>
      <c r="I242" s="334" t="str">
        <f t="shared" si="6"/>
        <v/>
      </c>
      <c r="J242" s="270" t="str">
        <f t="shared" si="7"/>
        <v/>
      </c>
      <c r="K242" s="335"/>
      <c r="L242" s="336"/>
      <c r="M242" s="338"/>
    </row>
    <row r="243" spans="2:13">
      <c r="B243" s="271"/>
      <c r="C243" s="271"/>
      <c r="D243" s="271"/>
      <c r="E243" s="271"/>
      <c r="F243" s="271"/>
      <c r="G243" s="271"/>
      <c r="H243" s="271"/>
      <c r="I243" s="334" t="str">
        <f t="shared" si="6"/>
        <v/>
      </c>
      <c r="J243" s="270" t="str">
        <f t="shared" si="7"/>
        <v/>
      </c>
      <c r="K243" s="335"/>
      <c r="L243" s="336"/>
      <c r="M243" s="338"/>
    </row>
    <row r="244" spans="2:13">
      <c r="B244" s="271"/>
      <c r="C244" s="271"/>
      <c r="D244" s="271"/>
      <c r="E244" s="271"/>
      <c r="F244" s="271"/>
      <c r="G244" s="271"/>
      <c r="H244" s="271"/>
      <c r="I244" s="334" t="str">
        <f t="shared" si="6"/>
        <v/>
      </c>
      <c r="J244" s="270" t="str">
        <f t="shared" si="7"/>
        <v/>
      </c>
      <c r="K244" s="335"/>
      <c r="L244" s="336"/>
      <c r="M244" s="338"/>
    </row>
    <row r="245" spans="2:13">
      <c r="B245" s="271"/>
      <c r="C245" s="271"/>
      <c r="D245" s="271"/>
      <c r="E245" s="271"/>
      <c r="F245" s="271"/>
      <c r="G245" s="271"/>
      <c r="H245" s="271"/>
      <c r="I245" s="334" t="str">
        <f t="shared" si="6"/>
        <v/>
      </c>
      <c r="J245" s="270" t="str">
        <f t="shared" si="7"/>
        <v/>
      </c>
      <c r="K245" s="335"/>
      <c r="L245" s="336"/>
      <c r="M245" s="338"/>
    </row>
    <row r="246" spans="2:13">
      <c r="B246" s="271"/>
      <c r="C246" s="271"/>
      <c r="D246" s="271"/>
      <c r="E246" s="271"/>
      <c r="F246" s="271"/>
      <c r="G246" s="271"/>
      <c r="H246" s="271"/>
      <c r="I246" s="334" t="str">
        <f t="shared" si="6"/>
        <v/>
      </c>
      <c r="J246" s="270" t="str">
        <f t="shared" si="7"/>
        <v/>
      </c>
      <c r="K246" s="335"/>
      <c r="L246" s="336"/>
      <c r="M246" s="338"/>
    </row>
    <row r="247" spans="2:13">
      <c r="B247" s="271"/>
      <c r="C247" s="271"/>
      <c r="D247" s="271"/>
      <c r="E247" s="271"/>
      <c r="F247" s="271"/>
      <c r="G247" s="271"/>
      <c r="H247" s="271"/>
      <c r="I247" s="334" t="str">
        <f t="shared" si="6"/>
        <v/>
      </c>
      <c r="J247" s="270" t="str">
        <f t="shared" si="7"/>
        <v/>
      </c>
      <c r="K247" s="335"/>
      <c r="L247" s="336"/>
      <c r="M247" s="338"/>
    </row>
    <row r="248" spans="2:13">
      <c r="B248" s="271"/>
      <c r="C248" s="271"/>
      <c r="D248" s="271"/>
      <c r="E248" s="271"/>
      <c r="F248" s="271"/>
      <c r="G248" s="271"/>
      <c r="H248" s="271"/>
      <c r="I248" s="334" t="str">
        <f t="shared" si="6"/>
        <v/>
      </c>
      <c r="J248" s="270" t="str">
        <f t="shared" si="7"/>
        <v/>
      </c>
      <c r="K248" s="335"/>
      <c r="L248" s="336"/>
      <c r="M248" s="338"/>
    </row>
    <row r="249" spans="2:13">
      <c r="B249" s="271"/>
      <c r="C249" s="271"/>
      <c r="D249" s="271"/>
      <c r="E249" s="271"/>
      <c r="F249" s="271"/>
      <c r="G249" s="271"/>
      <c r="H249" s="271"/>
      <c r="I249" s="334" t="str">
        <f t="shared" si="6"/>
        <v/>
      </c>
      <c r="J249" s="270" t="str">
        <f t="shared" si="7"/>
        <v/>
      </c>
      <c r="K249" s="335"/>
      <c r="L249" s="336"/>
      <c r="M249" s="338"/>
    </row>
    <row r="250" spans="2:13">
      <c r="B250" s="271"/>
      <c r="C250" s="271"/>
      <c r="D250" s="271"/>
      <c r="E250" s="271"/>
      <c r="F250" s="271"/>
      <c r="G250" s="271"/>
      <c r="H250" s="271"/>
      <c r="I250" s="334" t="str">
        <f t="shared" si="6"/>
        <v/>
      </c>
      <c r="J250" s="270" t="str">
        <f t="shared" si="7"/>
        <v/>
      </c>
      <c r="K250" s="335"/>
      <c r="L250" s="336"/>
      <c r="M250" s="338"/>
    </row>
    <row r="251" spans="2:13">
      <c r="B251" s="271"/>
      <c r="C251" s="271"/>
      <c r="D251" s="271"/>
      <c r="E251" s="271"/>
      <c r="F251" s="271"/>
      <c r="G251" s="271"/>
      <c r="H251" s="271"/>
      <c r="I251" s="334" t="str">
        <f t="shared" si="6"/>
        <v/>
      </c>
      <c r="J251" s="270" t="str">
        <f t="shared" si="7"/>
        <v/>
      </c>
      <c r="K251" s="335"/>
      <c r="L251" s="336"/>
      <c r="M251" s="338"/>
    </row>
    <row r="252" spans="2:13">
      <c r="B252" s="271"/>
      <c r="C252" s="271"/>
      <c r="D252" s="271"/>
      <c r="E252" s="271"/>
      <c r="F252" s="271"/>
      <c r="G252" s="271"/>
      <c r="H252" s="271"/>
      <c r="I252" s="334" t="str">
        <f t="shared" si="6"/>
        <v/>
      </c>
      <c r="J252" s="270" t="str">
        <f t="shared" si="7"/>
        <v/>
      </c>
      <c r="K252" s="335"/>
      <c r="L252" s="336"/>
      <c r="M252" s="338"/>
    </row>
    <row r="253" spans="2:13">
      <c r="B253" s="271"/>
      <c r="C253" s="271"/>
      <c r="D253" s="271"/>
      <c r="E253" s="271"/>
      <c r="F253" s="271"/>
      <c r="G253" s="271"/>
      <c r="H253" s="271"/>
      <c r="I253" s="334" t="str">
        <f t="shared" si="6"/>
        <v/>
      </c>
      <c r="J253" s="270" t="str">
        <f t="shared" si="7"/>
        <v/>
      </c>
      <c r="K253" s="335"/>
      <c r="L253" s="336"/>
      <c r="M253" s="338"/>
    </row>
    <row r="254" spans="2:13">
      <c r="B254" s="271"/>
      <c r="C254" s="271"/>
      <c r="D254" s="271"/>
      <c r="E254" s="271"/>
      <c r="F254" s="271"/>
      <c r="G254" s="271"/>
      <c r="H254" s="271"/>
      <c r="I254" s="334" t="str">
        <f t="shared" si="6"/>
        <v/>
      </c>
      <c r="J254" s="270" t="str">
        <f t="shared" si="7"/>
        <v/>
      </c>
      <c r="K254" s="335"/>
      <c r="L254" s="336"/>
      <c r="M254" s="338"/>
    </row>
    <row r="255" spans="2:13">
      <c r="B255" s="271"/>
      <c r="C255" s="271"/>
      <c r="D255" s="271"/>
      <c r="E255" s="271"/>
      <c r="F255" s="271"/>
      <c r="G255" s="271"/>
      <c r="H255" s="271"/>
      <c r="I255" s="334" t="str">
        <f t="shared" si="6"/>
        <v/>
      </c>
      <c r="J255" s="270" t="str">
        <f t="shared" si="7"/>
        <v/>
      </c>
      <c r="K255" s="335"/>
      <c r="L255" s="336"/>
      <c r="M255" s="338"/>
    </row>
    <row r="256" spans="2:13">
      <c r="B256" s="271"/>
      <c r="C256" s="271"/>
      <c r="D256" s="271"/>
      <c r="E256" s="271"/>
      <c r="F256" s="271"/>
      <c r="G256" s="271"/>
      <c r="H256" s="271"/>
      <c r="I256" s="334" t="str">
        <f t="shared" si="6"/>
        <v/>
      </c>
      <c r="J256" s="270" t="str">
        <f t="shared" si="7"/>
        <v/>
      </c>
      <c r="K256" s="335"/>
      <c r="L256" s="336"/>
      <c r="M256" s="338"/>
    </row>
    <row r="257" spans="2:13">
      <c r="B257" s="271"/>
      <c r="C257" s="271"/>
      <c r="D257" s="271"/>
      <c r="E257" s="271"/>
      <c r="F257" s="271"/>
      <c r="G257" s="271"/>
      <c r="H257" s="271"/>
      <c r="I257" s="334" t="str">
        <f t="shared" si="6"/>
        <v/>
      </c>
      <c r="J257" s="270" t="str">
        <f t="shared" si="7"/>
        <v/>
      </c>
      <c r="K257" s="335"/>
      <c r="L257" s="336"/>
      <c r="M257" s="338"/>
    </row>
    <row r="258" spans="2:13">
      <c r="B258" s="271"/>
      <c r="C258" s="271"/>
      <c r="D258" s="271"/>
      <c r="E258" s="271"/>
      <c r="F258" s="271"/>
      <c r="G258" s="271"/>
      <c r="H258" s="271"/>
      <c r="I258" s="334" t="str">
        <f t="shared" si="6"/>
        <v/>
      </c>
      <c r="J258" s="270" t="str">
        <f t="shared" si="7"/>
        <v/>
      </c>
      <c r="K258" s="335"/>
      <c r="L258" s="336"/>
      <c r="M258" s="338"/>
    </row>
    <row r="259" spans="2:13">
      <c r="B259" s="271"/>
      <c r="C259" s="271"/>
      <c r="D259" s="271"/>
      <c r="E259" s="271"/>
      <c r="F259" s="271"/>
      <c r="G259" s="271"/>
      <c r="H259" s="271"/>
      <c r="I259" s="334" t="str">
        <f t="shared" si="6"/>
        <v/>
      </c>
      <c r="J259" s="270" t="str">
        <f t="shared" si="7"/>
        <v/>
      </c>
      <c r="K259" s="335"/>
      <c r="L259" s="336"/>
      <c r="M259" s="338"/>
    </row>
    <row r="260" spans="2:13">
      <c r="B260" s="271"/>
      <c r="C260" s="271"/>
      <c r="D260" s="271"/>
      <c r="E260" s="271"/>
      <c r="F260" s="271"/>
      <c r="G260" s="271"/>
      <c r="H260" s="271"/>
      <c r="I260" s="334" t="str">
        <f t="shared" si="6"/>
        <v/>
      </c>
      <c r="J260" s="270" t="str">
        <f t="shared" si="7"/>
        <v/>
      </c>
      <c r="K260" s="335"/>
      <c r="L260" s="336"/>
      <c r="M260" s="338"/>
    </row>
    <row r="261" spans="2:13">
      <c r="B261" s="271"/>
      <c r="C261" s="271"/>
      <c r="D261" s="271"/>
      <c r="E261" s="271"/>
      <c r="F261" s="271"/>
      <c r="G261" s="271"/>
      <c r="H261" s="271"/>
      <c r="I261" s="334" t="str">
        <f t="shared" si="6"/>
        <v/>
      </c>
      <c r="J261" s="270" t="str">
        <f t="shared" si="7"/>
        <v/>
      </c>
      <c r="K261" s="335"/>
      <c r="L261" s="336"/>
      <c r="M261" s="338"/>
    </row>
    <row r="262" spans="2:13">
      <c r="B262" s="271"/>
      <c r="C262" s="271"/>
      <c r="D262" s="271"/>
      <c r="E262" s="271"/>
      <c r="F262" s="271"/>
      <c r="G262" s="271"/>
      <c r="H262" s="271"/>
      <c r="I262" s="334" t="str">
        <f t="shared" si="6"/>
        <v/>
      </c>
      <c r="J262" s="270" t="str">
        <f t="shared" si="7"/>
        <v/>
      </c>
      <c r="K262" s="335"/>
      <c r="L262" s="336"/>
      <c r="M262" s="338"/>
    </row>
    <row r="263" spans="2:13">
      <c r="B263" s="271"/>
      <c r="C263" s="271"/>
      <c r="D263" s="271"/>
      <c r="E263" s="271"/>
      <c r="F263" s="271"/>
      <c r="G263" s="271"/>
      <c r="H263" s="271"/>
      <c r="I263" s="334" t="str">
        <f t="shared" si="6"/>
        <v/>
      </c>
      <c r="J263" s="270" t="str">
        <f t="shared" si="7"/>
        <v/>
      </c>
      <c r="K263" s="335"/>
      <c r="L263" s="336"/>
      <c r="M263" s="338"/>
    </row>
    <row r="264" spans="2:13">
      <c r="B264" s="271"/>
      <c r="C264" s="271"/>
      <c r="D264" s="271"/>
      <c r="E264" s="271"/>
      <c r="F264" s="271"/>
      <c r="G264" s="271"/>
      <c r="H264" s="271"/>
      <c r="I264" s="334" t="str">
        <f t="shared" si="6"/>
        <v/>
      </c>
      <c r="J264" s="270" t="str">
        <f t="shared" si="7"/>
        <v/>
      </c>
      <c r="K264" s="335"/>
      <c r="L264" s="336"/>
      <c r="M264" s="338"/>
    </row>
    <row r="265" spans="2:13">
      <c r="B265" s="271"/>
      <c r="C265" s="271"/>
      <c r="D265" s="271"/>
      <c r="E265" s="271"/>
      <c r="F265" s="271"/>
      <c r="G265" s="271"/>
      <c r="H265" s="271"/>
      <c r="I265" s="334" t="str">
        <f t="shared" si="6"/>
        <v/>
      </c>
      <c r="J265" s="270" t="str">
        <f t="shared" si="7"/>
        <v/>
      </c>
      <c r="K265" s="335"/>
      <c r="L265" s="336"/>
      <c r="M265" s="338"/>
    </row>
    <row r="266" spans="2:13">
      <c r="B266" s="271"/>
      <c r="C266" s="271"/>
      <c r="D266" s="271"/>
      <c r="E266" s="271"/>
      <c r="F266" s="271"/>
      <c r="G266" s="271"/>
      <c r="H266" s="271"/>
      <c r="I266" s="334" t="str">
        <f t="shared" si="6"/>
        <v/>
      </c>
      <c r="J266" s="270" t="str">
        <f t="shared" si="7"/>
        <v/>
      </c>
      <c r="K266" s="335"/>
      <c r="L266" s="336"/>
      <c r="M266" s="338"/>
    </row>
    <row r="267" spans="2:13">
      <c r="B267" s="271"/>
      <c r="C267" s="271"/>
      <c r="D267" s="271"/>
      <c r="E267" s="271"/>
      <c r="F267" s="271"/>
      <c r="G267" s="271"/>
      <c r="H267" s="271"/>
      <c r="I267" s="334" t="str">
        <f t="shared" si="6"/>
        <v/>
      </c>
      <c r="J267" s="270" t="str">
        <f t="shared" si="7"/>
        <v/>
      </c>
      <c r="K267" s="335"/>
      <c r="L267" s="336"/>
      <c r="M267" s="338"/>
    </row>
    <row r="268" spans="2:13">
      <c r="B268" s="271"/>
      <c r="C268" s="271"/>
      <c r="D268" s="271"/>
      <c r="E268" s="271"/>
      <c r="F268" s="271"/>
      <c r="G268" s="271"/>
      <c r="H268" s="271"/>
      <c r="I268" s="334" t="str">
        <f t="shared" si="6"/>
        <v/>
      </c>
      <c r="J268" s="270" t="str">
        <f t="shared" si="7"/>
        <v/>
      </c>
      <c r="K268" s="335"/>
      <c r="L268" s="336"/>
      <c r="M268" s="338"/>
    </row>
    <row r="269" spans="2:13">
      <c r="B269" s="271"/>
      <c r="C269" s="271"/>
      <c r="D269" s="271"/>
      <c r="E269" s="271"/>
      <c r="F269" s="271"/>
      <c r="G269" s="271"/>
      <c r="H269" s="271"/>
      <c r="I269" s="334" t="str">
        <f t="shared" si="6"/>
        <v/>
      </c>
      <c r="J269" s="270" t="str">
        <f t="shared" si="7"/>
        <v/>
      </c>
      <c r="K269" s="335"/>
      <c r="L269" s="336"/>
      <c r="M269" s="338"/>
    </row>
    <row r="270" spans="2:13">
      <c r="B270" s="271"/>
      <c r="C270" s="271"/>
      <c r="D270" s="271"/>
      <c r="E270" s="271"/>
      <c r="F270" s="271"/>
      <c r="G270" s="271"/>
      <c r="H270" s="271"/>
      <c r="I270" s="334" t="str">
        <f t="shared" ref="I270:I333" si="8">IF(H270="Large","NRS",IF(H270="International","FRS",IF(H270="SME - Medium","SME",IF(H270="SME - Micro","SME",IF(H270="SME - Small","SME","")))))</f>
        <v/>
      </c>
      <c r="J270" s="270" t="str">
        <f t="shared" ref="J270:J333" si="9">IF(B270="","","No")</f>
        <v/>
      </c>
      <c r="K270" s="335"/>
      <c r="L270" s="336"/>
      <c r="M270" s="338"/>
    </row>
    <row r="271" spans="2:13">
      <c r="B271" s="271"/>
      <c r="C271" s="271"/>
      <c r="D271" s="271"/>
      <c r="E271" s="271"/>
      <c r="F271" s="271"/>
      <c r="G271" s="271"/>
      <c r="H271" s="271"/>
      <c r="I271" s="334" t="str">
        <f t="shared" si="8"/>
        <v/>
      </c>
      <c r="J271" s="270" t="str">
        <f t="shared" si="9"/>
        <v/>
      </c>
      <c r="K271" s="335"/>
      <c r="L271" s="336"/>
      <c r="M271" s="338"/>
    </row>
    <row r="272" spans="2:13">
      <c r="B272" s="271"/>
      <c r="C272" s="271"/>
      <c r="D272" s="271"/>
      <c r="E272" s="271"/>
      <c r="F272" s="271"/>
      <c r="G272" s="271"/>
      <c r="H272" s="271"/>
      <c r="I272" s="334" t="str">
        <f t="shared" si="8"/>
        <v/>
      </c>
      <c r="J272" s="270" t="str">
        <f t="shared" si="9"/>
        <v/>
      </c>
      <c r="K272" s="335"/>
      <c r="L272" s="336"/>
      <c r="M272" s="338"/>
    </row>
    <row r="273" spans="2:13">
      <c r="B273" s="271"/>
      <c r="C273" s="271"/>
      <c r="D273" s="271"/>
      <c r="E273" s="271"/>
      <c r="F273" s="271"/>
      <c r="G273" s="271"/>
      <c r="H273" s="271"/>
      <c r="I273" s="334" t="str">
        <f t="shared" si="8"/>
        <v/>
      </c>
      <c r="J273" s="270" t="str">
        <f t="shared" si="9"/>
        <v/>
      </c>
      <c r="K273" s="335"/>
      <c r="L273" s="336"/>
      <c r="M273" s="338"/>
    </row>
    <row r="274" spans="2:13">
      <c r="B274" s="271"/>
      <c r="C274" s="271"/>
      <c r="D274" s="271"/>
      <c r="E274" s="271"/>
      <c r="F274" s="271"/>
      <c r="G274" s="271"/>
      <c r="H274" s="271"/>
      <c r="I274" s="334" t="str">
        <f t="shared" si="8"/>
        <v/>
      </c>
      <c r="J274" s="270" t="str">
        <f t="shared" si="9"/>
        <v/>
      </c>
      <c r="K274" s="335"/>
      <c r="L274" s="336"/>
      <c r="M274" s="338"/>
    </row>
    <row r="275" spans="2:13">
      <c r="B275" s="271"/>
      <c r="C275" s="271"/>
      <c r="D275" s="271"/>
      <c r="E275" s="271"/>
      <c r="F275" s="271"/>
      <c r="G275" s="271"/>
      <c r="H275" s="271"/>
      <c r="I275" s="334" t="str">
        <f t="shared" si="8"/>
        <v/>
      </c>
      <c r="J275" s="270" t="str">
        <f t="shared" si="9"/>
        <v/>
      </c>
      <c r="K275" s="335"/>
      <c r="L275" s="336"/>
      <c r="M275" s="338"/>
    </row>
    <row r="276" spans="2:13">
      <c r="B276" s="271"/>
      <c r="C276" s="271"/>
      <c r="D276" s="271"/>
      <c r="E276" s="271"/>
      <c r="F276" s="271"/>
      <c r="G276" s="271"/>
      <c r="H276" s="271"/>
      <c r="I276" s="334" t="str">
        <f t="shared" si="8"/>
        <v/>
      </c>
      <c r="J276" s="270" t="str">
        <f t="shared" si="9"/>
        <v/>
      </c>
      <c r="K276" s="335"/>
      <c r="L276" s="336"/>
      <c r="M276" s="338"/>
    </row>
    <row r="277" spans="2:13">
      <c r="B277" s="271"/>
      <c r="C277" s="271"/>
      <c r="D277" s="271"/>
      <c r="E277" s="271"/>
      <c r="F277" s="271"/>
      <c r="G277" s="271"/>
      <c r="H277" s="271"/>
      <c r="I277" s="334" t="str">
        <f t="shared" si="8"/>
        <v/>
      </c>
      <c r="J277" s="270" t="str">
        <f t="shared" si="9"/>
        <v/>
      </c>
      <c r="K277" s="335"/>
      <c r="L277" s="336"/>
      <c r="M277" s="338"/>
    </row>
    <row r="278" spans="2:13">
      <c r="B278" s="271"/>
      <c r="C278" s="271"/>
      <c r="D278" s="271"/>
      <c r="E278" s="271"/>
      <c r="F278" s="271"/>
      <c r="G278" s="271"/>
      <c r="H278" s="271"/>
      <c r="I278" s="334" t="str">
        <f t="shared" si="8"/>
        <v/>
      </c>
      <c r="J278" s="270" t="str">
        <f t="shared" si="9"/>
        <v/>
      </c>
      <c r="K278" s="335"/>
      <c r="L278" s="336"/>
      <c r="M278" s="338"/>
    </row>
    <row r="279" spans="2:13">
      <c r="B279" s="271"/>
      <c r="C279" s="271"/>
      <c r="D279" s="271"/>
      <c r="E279" s="271"/>
      <c r="F279" s="271"/>
      <c r="G279" s="271"/>
      <c r="H279" s="271"/>
      <c r="I279" s="334" t="str">
        <f t="shared" si="8"/>
        <v/>
      </c>
      <c r="J279" s="270" t="str">
        <f t="shared" si="9"/>
        <v/>
      </c>
      <c r="K279" s="335"/>
      <c r="L279" s="336"/>
      <c r="M279" s="338"/>
    </row>
    <row r="280" spans="2:13">
      <c r="B280" s="271"/>
      <c r="C280" s="271"/>
      <c r="D280" s="271"/>
      <c r="E280" s="271"/>
      <c r="F280" s="271"/>
      <c r="G280" s="271"/>
      <c r="H280" s="271"/>
      <c r="I280" s="334" t="str">
        <f t="shared" si="8"/>
        <v/>
      </c>
      <c r="J280" s="270" t="str">
        <f t="shared" si="9"/>
        <v/>
      </c>
      <c r="K280" s="335"/>
      <c r="L280" s="336"/>
      <c r="M280" s="338"/>
    </row>
    <row r="281" spans="2:13">
      <c r="B281" s="271"/>
      <c r="C281" s="271"/>
      <c r="D281" s="271"/>
      <c r="E281" s="271"/>
      <c r="F281" s="271"/>
      <c r="G281" s="271"/>
      <c r="H281" s="271"/>
      <c r="I281" s="334" t="str">
        <f t="shared" si="8"/>
        <v/>
      </c>
      <c r="J281" s="270" t="str">
        <f t="shared" si="9"/>
        <v/>
      </c>
      <c r="K281" s="335"/>
      <c r="L281" s="336"/>
      <c r="M281" s="338"/>
    </row>
    <row r="282" spans="2:13">
      <c r="B282" s="271"/>
      <c r="C282" s="271"/>
      <c r="D282" s="271"/>
      <c r="E282" s="271"/>
      <c r="F282" s="271"/>
      <c r="G282" s="271"/>
      <c r="H282" s="271"/>
      <c r="I282" s="334" t="str">
        <f t="shared" si="8"/>
        <v/>
      </c>
      <c r="J282" s="270" t="str">
        <f t="shared" si="9"/>
        <v/>
      </c>
      <c r="K282" s="335"/>
      <c r="L282" s="336"/>
      <c r="M282" s="338"/>
    </row>
    <row r="283" spans="2:13">
      <c r="B283" s="271"/>
      <c r="C283" s="271"/>
      <c r="D283" s="271"/>
      <c r="E283" s="271"/>
      <c r="F283" s="271"/>
      <c r="G283" s="271"/>
      <c r="H283" s="271"/>
      <c r="I283" s="334" t="str">
        <f t="shared" si="8"/>
        <v/>
      </c>
      <c r="J283" s="270" t="str">
        <f t="shared" si="9"/>
        <v/>
      </c>
      <c r="K283" s="335"/>
      <c r="L283" s="336"/>
      <c r="M283" s="338"/>
    </row>
    <row r="284" spans="2:13">
      <c r="B284" s="271"/>
      <c r="C284" s="271"/>
      <c r="D284" s="271"/>
      <c r="E284" s="271"/>
      <c r="F284" s="271"/>
      <c r="G284" s="271"/>
      <c r="H284" s="271"/>
      <c r="I284" s="334" t="str">
        <f t="shared" si="8"/>
        <v/>
      </c>
      <c r="J284" s="270" t="str">
        <f t="shared" si="9"/>
        <v/>
      </c>
      <c r="K284" s="335"/>
      <c r="L284" s="336"/>
      <c r="M284" s="338"/>
    </row>
    <row r="285" spans="2:13">
      <c r="B285" s="271"/>
      <c r="C285" s="271"/>
      <c r="D285" s="271"/>
      <c r="E285" s="271"/>
      <c r="F285" s="271"/>
      <c r="G285" s="271"/>
      <c r="H285" s="271"/>
      <c r="I285" s="334" t="str">
        <f t="shared" si="8"/>
        <v/>
      </c>
      <c r="J285" s="270" t="str">
        <f t="shared" si="9"/>
        <v/>
      </c>
      <c r="K285" s="335"/>
      <c r="L285" s="336"/>
      <c r="M285" s="338"/>
    </row>
    <row r="286" spans="2:13">
      <c r="B286" s="271"/>
      <c r="C286" s="271"/>
      <c r="D286" s="271"/>
      <c r="E286" s="271"/>
      <c r="F286" s="271"/>
      <c r="G286" s="271"/>
      <c r="H286" s="271"/>
      <c r="I286" s="334" t="str">
        <f t="shared" si="8"/>
        <v/>
      </c>
      <c r="J286" s="270" t="str">
        <f t="shared" si="9"/>
        <v/>
      </c>
      <c r="K286" s="335"/>
      <c r="L286" s="336"/>
      <c r="M286" s="338"/>
    </row>
    <row r="287" spans="2:13">
      <c r="B287" s="271"/>
      <c r="C287" s="271"/>
      <c r="D287" s="271"/>
      <c r="E287" s="271"/>
      <c r="F287" s="271"/>
      <c r="G287" s="271"/>
      <c r="H287" s="271"/>
      <c r="I287" s="334" t="str">
        <f t="shared" si="8"/>
        <v/>
      </c>
      <c r="J287" s="270" t="str">
        <f t="shared" si="9"/>
        <v/>
      </c>
      <c r="K287" s="335"/>
      <c r="L287" s="336"/>
      <c r="M287" s="338"/>
    </row>
    <row r="288" spans="2:13">
      <c r="B288" s="271"/>
      <c r="C288" s="271"/>
      <c r="D288" s="271"/>
      <c r="E288" s="271"/>
      <c r="F288" s="271"/>
      <c r="G288" s="271"/>
      <c r="H288" s="271"/>
      <c r="I288" s="334" t="str">
        <f t="shared" si="8"/>
        <v/>
      </c>
      <c r="J288" s="270" t="str">
        <f t="shared" si="9"/>
        <v/>
      </c>
      <c r="K288" s="335"/>
      <c r="L288" s="336"/>
      <c r="M288" s="338"/>
    </row>
    <row r="289" spans="2:13">
      <c r="B289" s="271"/>
      <c r="C289" s="271"/>
      <c r="D289" s="271"/>
      <c r="E289" s="271"/>
      <c r="F289" s="271"/>
      <c r="G289" s="271"/>
      <c r="H289" s="271"/>
      <c r="I289" s="334" t="str">
        <f t="shared" si="8"/>
        <v/>
      </c>
      <c r="J289" s="270" t="str">
        <f t="shared" si="9"/>
        <v/>
      </c>
      <c r="K289" s="335"/>
      <c r="L289" s="336"/>
      <c r="M289" s="338"/>
    </row>
    <row r="290" spans="2:13">
      <c r="B290" s="271"/>
      <c r="C290" s="271"/>
      <c r="D290" s="271"/>
      <c r="E290" s="271"/>
      <c r="F290" s="271"/>
      <c r="G290" s="271"/>
      <c r="H290" s="271"/>
      <c r="I290" s="334" t="str">
        <f t="shared" si="8"/>
        <v/>
      </c>
      <c r="J290" s="270" t="str">
        <f t="shared" si="9"/>
        <v/>
      </c>
      <c r="K290" s="335"/>
      <c r="L290" s="336"/>
      <c r="M290" s="338"/>
    </row>
    <row r="291" spans="2:13">
      <c r="B291" s="271"/>
      <c r="C291" s="271"/>
      <c r="D291" s="271"/>
      <c r="E291" s="271"/>
      <c r="F291" s="271"/>
      <c r="G291" s="271"/>
      <c r="H291" s="271"/>
      <c r="I291" s="334" t="str">
        <f t="shared" si="8"/>
        <v/>
      </c>
      <c r="J291" s="270" t="str">
        <f t="shared" si="9"/>
        <v/>
      </c>
      <c r="K291" s="335"/>
      <c r="L291" s="336"/>
      <c r="M291" s="338"/>
    </row>
    <row r="292" spans="2:13">
      <c r="B292" s="271"/>
      <c r="C292" s="271"/>
      <c r="D292" s="271"/>
      <c r="E292" s="271"/>
      <c r="F292" s="271"/>
      <c r="G292" s="271"/>
      <c r="H292" s="271"/>
      <c r="I292" s="334" t="str">
        <f t="shared" si="8"/>
        <v/>
      </c>
      <c r="J292" s="270" t="str">
        <f t="shared" si="9"/>
        <v/>
      </c>
      <c r="K292" s="335"/>
      <c r="L292" s="336"/>
      <c r="M292" s="338"/>
    </row>
    <row r="293" spans="2:13">
      <c r="B293" s="271"/>
      <c r="C293" s="271"/>
      <c r="D293" s="271"/>
      <c r="E293" s="271"/>
      <c r="F293" s="271"/>
      <c r="G293" s="271"/>
      <c r="H293" s="271"/>
      <c r="I293" s="334" t="str">
        <f t="shared" si="8"/>
        <v/>
      </c>
      <c r="J293" s="270" t="str">
        <f t="shared" si="9"/>
        <v/>
      </c>
      <c r="K293" s="335"/>
      <c r="L293" s="336"/>
      <c r="M293" s="338"/>
    </row>
    <row r="294" spans="2:13">
      <c r="B294" s="271"/>
      <c r="C294" s="271"/>
      <c r="D294" s="271"/>
      <c r="E294" s="271"/>
      <c r="F294" s="271"/>
      <c r="G294" s="271"/>
      <c r="H294" s="271"/>
      <c r="I294" s="334" t="str">
        <f t="shared" si="8"/>
        <v/>
      </c>
      <c r="J294" s="270" t="str">
        <f t="shared" si="9"/>
        <v/>
      </c>
      <c r="K294" s="335"/>
      <c r="L294" s="336"/>
      <c r="M294" s="338"/>
    </row>
    <row r="295" spans="2:13">
      <c r="B295" s="271"/>
      <c r="C295" s="271"/>
      <c r="D295" s="271"/>
      <c r="E295" s="271"/>
      <c r="F295" s="271"/>
      <c r="G295" s="271"/>
      <c r="H295" s="271"/>
      <c r="I295" s="334" t="str">
        <f t="shared" si="8"/>
        <v/>
      </c>
      <c r="J295" s="270" t="str">
        <f t="shared" si="9"/>
        <v/>
      </c>
      <c r="K295" s="335"/>
      <c r="L295" s="336"/>
      <c r="M295" s="338"/>
    </row>
    <row r="296" spans="2:13">
      <c r="B296" s="271"/>
      <c r="C296" s="271"/>
      <c r="D296" s="271"/>
      <c r="E296" s="271"/>
      <c r="F296" s="271"/>
      <c r="G296" s="271"/>
      <c r="H296" s="271"/>
      <c r="I296" s="334" t="str">
        <f t="shared" si="8"/>
        <v/>
      </c>
      <c r="J296" s="270" t="str">
        <f t="shared" si="9"/>
        <v/>
      </c>
      <c r="K296" s="335"/>
      <c r="L296" s="336"/>
      <c r="M296" s="338"/>
    </row>
    <row r="297" spans="2:13">
      <c r="B297" s="271"/>
      <c r="C297" s="271"/>
      <c r="D297" s="271"/>
      <c r="E297" s="271"/>
      <c r="F297" s="271"/>
      <c r="G297" s="271"/>
      <c r="H297" s="271"/>
      <c r="I297" s="334" t="str">
        <f t="shared" si="8"/>
        <v/>
      </c>
      <c r="J297" s="270" t="str">
        <f t="shared" si="9"/>
        <v/>
      </c>
      <c r="K297" s="335"/>
      <c r="L297" s="336"/>
      <c r="M297" s="338"/>
    </row>
    <row r="298" spans="2:13">
      <c r="B298" s="271"/>
      <c r="C298" s="271"/>
      <c r="D298" s="271"/>
      <c r="E298" s="271"/>
      <c r="F298" s="271"/>
      <c r="G298" s="271"/>
      <c r="H298" s="271"/>
      <c r="I298" s="334" t="str">
        <f t="shared" si="8"/>
        <v/>
      </c>
      <c r="J298" s="270" t="str">
        <f t="shared" si="9"/>
        <v/>
      </c>
      <c r="K298" s="335"/>
      <c r="L298" s="336"/>
      <c r="M298" s="338"/>
    </row>
    <row r="299" spans="2:13">
      <c r="B299" s="271"/>
      <c r="C299" s="271"/>
      <c r="D299" s="271"/>
      <c r="E299" s="271"/>
      <c r="F299" s="271"/>
      <c r="G299" s="271"/>
      <c r="H299" s="271"/>
      <c r="I299" s="334" t="str">
        <f t="shared" si="8"/>
        <v/>
      </c>
      <c r="J299" s="270" t="str">
        <f t="shared" si="9"/>
        <v/>
      </c>
      <c r="K299" s="335"/>
      <c r="L299" s="336"/>
      <c r="M299" s="338"/>
    </row>
    <row r="300" spans="2:13">
      <c r="B300" s="271"/>
      <c r="C300" s="271"/>
      <c r="D300" s="271"/>
      <c r="E300" s="271"/>
      <c r="F300" s="271"/>
      <c r="G300" s="271"/>
      <c r="H300" s="271"/>
      <c r="I300" s="334" t="str">
        <f t="shared" si="8"/>
        <v/>
      </c>
      <c r="J300" s="270" t="str">
        <f t="shared" si="9"/>
        <v/>
      </c>
      <c r="K300" s="335"/>
      <c r="L300" s="336"/>
      <c r="M300" s="338"/>
    </row>
    <row r="301" spans="2:13">
      <c r="B301" s="271"/>
      <c r="C301" s="271"/>
      <c r="D301" s="271"/>
      <c r="E301" s="271"/>
      <c r="F301" s="271"/>
      <c r="G301" s="271"/>
      <c r="H301" s="271"/>
      <c r="I301" s="334" t="str">
        <f t="shared" si="8"/>
        <v/>
      </c>
      <c r="J301" s="270" t="str">
        <f t="shared" si="9"/>
        <v/>
      </c>
      <c r="K301" s="335"/>
      <c r="L301" s="336"/>
      <c r="M301" s="338"/>
    </row>
    <row r="302" spans="2:13">
      <c r="B302" s="271"/>
      <c r="C302" s="271"/>
      <c r="D302" s="271"/>
      <c r="E302" s="271"/>
      <c r="F302" s="271"/>
      <c r="G302" s="271"/>
      <c r="H302" s="271"/>
      <c r="I302" s="334" t="str">
        <f t="shared" si="8"/>
        <v/>
      </c>
      <c r="J302" s="270" t="str">
        <f t="shared" si="9"/>
        <v/>
      </c>
      <c r="K302" s="335"/>
      <c r="L302" s="336"/>
      <c r="M302" s="338"/>
    </row>
    <row r="303" spans="2:13">
      <c r="B303" s="271"/>
      <c r="C303" s="271"/>
      <c r="D303" s="271"/>
      <c r="E303" s="271"/>
      <c r="F303" s="271"/>
      <c r="G303" s="271"/>
      <c r="H303" s="271"/>
      <c r="I303" s="334" t="str">
        <f t="shared" si="8"/>
        <v/>
      </c>
      <c r="J303" s="270" t="str">
        <f t="shared" si="9"/>
        <v/>
      </c>
      <c r="K303" s="335"/>
      <c r="L303" s="336"/>
      <c r="M303" s="338"/>
    </row>
    <row r="304" spans="2:13">
      <c r="B304" s="271"/>
      <c r="C304" s="271"/>
      <c r="D304" s="271"/>
      <c r="E304" s="271"/>
      <c r="F304" s="271"/>
      <c r="G304" s="271"/>
      <c r="H304" s="271"/>
      <c r="I304" s="334" t="str">
        <f t="shared" si="8"/>
        <v/>
      </c>
      <c r="J304" s="270" t="str">
        <f t="shared" si="9"/>
        <v/>
      </c>
      <c r="K304" s="335"/>
      <c r="L304" s="336"/>
      <c r="M304" s="338"/>
    </row>
    <row r="305" spans="2:13">
      <c r="B305" s="271"/>
      <c r="C305" s="271"/>
      <c r="D305" s="271"/>
      <c r="E305" s="271"/>
      <c r="F305" s="271"/>
      <c r="G305" s="271"/>
      <c r="H305" s="271"/>
      <c r="I305" s="334" t="str">
        <f t="shared" si="8"/>
        <v/>
      </c>
      <c r="J305" s="270" t="str">
        <f t="shared" si="9"/>
        <v/>
      </c>
      <c r="K305" s="335"/>
      <c r="L305" s="336"/>
      <c r="M305" s="338"/>
    </row>
    <row r="306" spans="2:13">
      <c r="B306" s="271"/>
      <c r="C306" s="271"/>
      <c r="D306" s="271"/>
      <c r="E306" s="271"/>
      <c r="F306" s="271"/>
      <c r="G306" s="271"/>
      <c r="H306" s="271"/>
      <c r="I306" s="334" t="str">
        <f t="shared" si="8"/>
        <v/>
      </c>
      <c r="J306" s="270" t="str">
        <f t="shared" si="9"/>
        <v/>
      </c>
      <c r="K306" s="335"/>
      <c r="L306" s="336"/>
      <c r="M306" s="338"/>
    </row>
    <row r="307" spans="2:13">
      <c r="B307" s="271"/>
      <c r="C307" s="271"/>
      <c r="D307" s="271"/>
      <c r="E307" s="271"/>
      <c r="F307" s="271"/>
      <c r="G307" s="271"/>
      <c r="H307" s="271"/>
      <c r="I307" s="334" t="str">
        <f t="shared" si="8"/>
        <v/>
      </c>
      <c r="J307" s="270" t="str">
        <f t="shared" si="9"/>
        <v/>
      </c>
      <c r="K307" s="335"/>
      <c r="L307" s="336"/>
      <c r="M307" s="338"/>
    </row>
    <row r="308" spans="2:13">
      <c r="B308" s="271"/>
      <c r="C308" s="271"/>
      <c r="D308" s="271"/>
      <c r="E308" s="271"/>
      <c r="F308" s="271"/>
      <c r="G308" s="271"/>
      <c r="H308" s="271"/>
      <c r="I308" s="334" t="str">
        <f t="shared" si="8"/>
        <v/>
      </c>
      <c r="J308" s="270" t="str">
        <f t="shared" si="9"/>
        <v/>
      </c>
      <c r="K308" s="335"/>
      <c r="L308" s="336"/>
      <c r="M308" s="338"/>
    </row>
    <row r="309" spans="2:13">
      <c r="B309" s="271"/>
      <c r="C309" s="271"/>
      <c r="D309" s="271"/>
      <c r="E309" s="271"/>
      <c r="F309" s="271"/>
      <c r="G309" s="271"/>
      <c r="H309" s="271"/>
      <c r="I309" s="334" t="str">
        <f t="shared" si="8"/>
        <v/>
      </c>
      <c r="J309" s="270" t="str">
        <f t="shared" si="9"/>
        <v/>
      </c>
      <c r="K309" s="335"/>
      <c r="L309" s="336"/>
      <c r="M309" s="338"/>
    </row>
    <row r="310" spans="2:13">
      <c r="B310" s="271"/>
      <c r="C310" s="271"/>
      <c r="D310" s="271"/>
      <c r="E310" s="271"/>
      <c r="F310" s="271"/>
      <c r="G310" s="271"/>
      <c r="H310" s="271"/>
      <c r="I310" s="334" t="str">
        <f t="shared" si="8"/>
        <v/>
      </c>
      <c r="J310" s="270" t="str">
        <f t="shared" si="9"/>
        <v/>
      </c>
      <c r="K310" s="335"/>
      <c r="L310" s="336"/>
      <c r="M310" s="338"/>
    </row>
    <row r="311" spans="2:13">
      <c r="B311" s="271"/>
      <c r="C311" s="271"/>
      <c r="D311" s="271"/>
      <c r="E311" s="271"/>
      <c r="F311" s="271"/>
      <c r="G311" s="271"/>
      <c r="H311" s="271"/>
      <c r="I311" s="334" t="str">
        <f t="shared" si="8"/>
        <v/>
      </c>
      <c r="J311" s="270" t="str">
        <f t="shared" si="9"/>
        <v/>
      </c>
      <c r="K311" s="335"/>
      <c r="L311" s="336"/>
      <c r="M311" s="338"/>
    </row>
    <row r="312" spans="2:13">
      <c r="B312" s="271"/>
      <c r="C312" s="271"/>
      <c r="D312" s="271"/>
      <c r="E312" s="271"/>
      <c r="F312" s="271"/>
      <c r="G312" s="271"/>
      <c r="H312" s="271"/>
      <c r="I312" s="334" t="str">
        <f t="shared" si="8"/>
        <v/>
      </c>
      <c r="J312" s="270" t="str">
        <f t="shared" si="9"/>
        <v/>
      </c>
      <c r="K312" s="335"/>
      <c r="L312" s="336"/>
      <c r="M312" s="338"/>
    </row>
    <row r="313" spans="2:13">
      <c r="B313" s="271"/>
      <c r="C313" s="271"/>
      <c r="D313" s="271"/>
      <c r="E313" s="271"/>
      <c r="F313" s="271"/>
      <c r="G313" s="271"/>
      <c r="H313" s="271"/>
      <c r="I313" s="334" t="str">
        <f t="shared" si="8"/>
        <v/>
      </c>
      <c r="J313" s="270" t="str">
        <f t="shared" si="9"/>
        <v/>
      </c>
      <c r="K313" s="335"/>
      <c r="L313" s="336"/>
      <c r="M313" s="338"/>
    </row>
    <row r="314" spans="2:13">
      <c r="B314" s="271"/>
      <c r="C314" s="271"/>
      <c r="D314" s="271"/>
      <c r="E314" s="271"/>
      <c r="F314" s="271"/>
      <c r="G314" s="271"/>
      <c r="H314" s="271"/>
      <c r="I314" s="334" t="str">
        <f t="shared" si="8"/>
        <v/>
      </c>
      <c r="J314" s="270" t="str">
        <f t="shared" si="9"/>
        <v/>
      </c>
      <c r="K314" s="335"/>
      <c r="L314" s="336"/>
      <c r="M314" s="338"/>
    </row>
    <row r="315" spans="2:13">
      <c r="B315" s="271"/>
      <c r="C315" s="271"/>
      <c r="D315" s="271"/>
      <c r="E315" s="271"/>
      <c r="F315" s="271"/>
      <c r="G315" s="271"/>
      <c r="H315" s="271"/>
      <c r="I315" s="334" t="str">
        <f t="shared" si="8"/>
        <v/>
      </c>
      <c r="J315" s="270" t="str">
        <f t="shared" si="9"/>
        <v/>
      </c>
      <c r="K315" s="335"/>
      <c r="L315" s="336"/>
      <c r="M315" s="338"/>
    </row>
    <row r="316" spans="2:13">
      <c r="B316" s="271"/>
      <c r="C316" s="271"/>
      <c r="D316" s="271"/>
      <c r="E316" s="271"/>
      <c r="F316" s="271"/>
      <c r="G316" s="271"/>
      <c r="H316" s="271"/>
      <c r="I316" s="334" t="str">
        <f t="shared" si="8"/>
        <v/>
      </c>
      <c r="J316" s="270" t="str">
        <f t="shared" si="9"/>
        <v/>
      </c>
      <c r="K316" s="335"/>
      <c r="L316" s="336"/>
      <c r="M316" s="338"/>
    </row>
    <row r="317" spans="2:13">
      <c r="B317" s="271"/>
      <c r="C317" s="271"/>
      <c r="D317" s="271"/>
      <c r="E317" s="271"/>
      <c r="F317" s="271"/>
      <c r="G317" s="271"/>
      <c r="H317" s="271"/>
      <c r="I317" s="334" t="str">
        <f t="shared" si="8"/>
        <v/>
      </c>
      <c r="J317" s="270" t="str">
        <f t="shared" si="9"/>
        <v/>
      </c>
      <c r="K317" s="335"/>
      <c r="L317" s="336"/>
      <c r="M317" s="338"/>
    </row>
    <row r="318" spans="2:13">
      <c r="B318" s="271"/>
      <c r="C318" s="271"/>
      <c r="D318" s="271"/>
      <c r="E318" s="271"/>
      <c r="F318" s="271"/>
      <c r="G318" s="271"/>
      <c r="H318" s="271"/>
      <c r="I318" s="334" t="str">
        <f t="shared" si="8"/>
        <v/>
      </c>
      <c r="J318" s="270" t="str">
        <f t="shared" si="9"/>
        <v/>
      </c>
      <c r="K318" s="335"/>
      <c r="L318" s="336"/>
      <c r="M318" s="338"/>
    </row>
    <row r="319" spans="2:13">
      <c r="B319" s="271"/>
      <c r="C319" s="271"/>
      <c r="D319" s="271"/>
      <c r="E319" s="271"/>
      <c r="F319" s="271"/>
      <c r="G319" s="271"/>
      <c r="H319" s="271"/>
      <c r="I319" s="334" t="str">
        <f t="shared" si="8"/>
        <v/>
      </c>
      <c r="J319" s="270" t="str">
        <f t="shared" si="9"/>
        <v/>
      </c>
      <c r="K319" s="335"/>
      <c r="L319" s="336"/>
      <c r="M319" s="338"/>
    </row>
    <row r="320" spans="2:13">
      <c r="B320" s="271"/>
      <c r="C320" s="271"/>
      <c r="D320" s="271"/>
      <c r="E320" s="271"/>
      <c r="F320" s="271"/>
      <c r="G320" s="271"/>
      <c r="H320" s="271"/>
      <c r="I320" s="334" t="str">
        <f t="shared" si="8"/>
        <v/>
      </c>
      <c r="J320" s="270" t="str">
        <f t="shared" si="9"/>
        <v/>
      </c>
      <c r="K320" s="335"/>
      <c r="L320" s="336"/>
      <c r="M320" s="338"/>
    </row>
    <row r="321" spans="2:13">
      <c r="B321" s="271"/>
      <c r="C321" s="271"/>
      <c r="D321" s="271"/>
      <c r="E321" s="271"/>
      <c r="F321" s="271"/>
      <c r="G321" s="271"/>
      <c r="H321" s="271"/>
      <c r="I321" s="334" t="str">
        <f t="shared" si="8"/>
        <v/>
      </c>
      <c r="J321" s="270" t="str">
        <f t="shared" si="9"/>
        <v/>
      </c>
      <c r="K321" s="335"/>
      <c r="L321" s="336"/>
      <c r="M321" s="338"/>
    </row>
    <row r="322" spans="2:13">
      <c r="B322" s="271"/>
      <c r="C322" s="271"/>
      <c r="D322" s="271"/>
      <c r="E322" s="271"/>
      <c r="F322" s="271"/>
      <c r="G322" s="271"/>
      <c r="H322" s="271"/>
      <c r="I322" s="334" t="str">
        <f t="shared" si="8"/>
        <v/>
      </c>
      <c r="J322" s="270" t="str">
        <f t="shared" si="9"/>
        <v/>
      </c>
      <c r="K322" s="335"/>
      <c r="L322" s="336"/>
      <c r="M322" s="338"/>
    </row>
    <row r="323" spans="2:13">
      <c r="B323" s="271"/>
      <c r="C323" s="271"/>
      <c r="D323" s="271"/>
      <c r="E323" s="271"/>
      <c r="F323" s="271"/>
      <c r="G323" s="271"/>
      <c r="H323" s="271"/>
      <c r="I323" s="334" t="str">
        <f t="shared" si="8"/>
        <v/>
      </c>
      <c r="J323" s="270" t="str">
        <f t="shared" si="9"/>
        <v/>
      </c>
      <c r="K323" s="335"/>
      <c r="L323" s="336"/>
      <c r="M323" s="338"/>
    </row>
    <row r="324" spans="2:13">
      <c r="B324" s="271"/>
      <c r="C324" s="271"/>
      <c r="D324" s="271"/>
      <c r="E324" s="271"/>
      <c r="F324" s="271"/>
      <c r="G324" s="271"/>
      <c r="H324" s="271"/>
      <c r="I324" s="334" t="str">
        <f t="shared" si="8"/>
        <v/>
      </c>
      <c r="J324" s="270" t="str">
        <f t="shared" si="9"/>
        <v/>
      </c>
      <c r="K324" s="335"/>
      <c r="L324" s="336"/>
      <c r="M324" s="338"/>
    </row>
    <row r="325" spans="2:13">
      <c r="B325" s="271"/>
      <c r="C325" s="271"/>
      <c r="D325" s="271"/>
      <c r="E325" s="271"/>
      <c r="F325" s="271"/>
      <c r="G325" s="271"/>
      <c r="H325" s="271"/>
      <c r="I325" s="334" t="str">
        <f t="shared" si="8"/>
        <v/>
      </c>
      <c r="J325" s="270" t="str">
        <f t="shared" si="9"/>
        <v/>
      </c>
      <c r="K325" s="335"/>
      <c r="L325" s="336"/>
      <c r="M325" s="338"/>
    </row>
    <row r="326" spans="2:13">
      <c r="B326" s="271"/>
      <c r="C326" s="271"/>
      <c r="D326" s="271"/>
      <c r="E326" s="271"/>
      <c r="F326" s="271"/>
      <c r="G326" s="271"/>
      <c r="H326" s="271"/>
      <c r="I326" s="334" t="str">
        <f t="shared" si="8"/>
        <v/>
      </c>
      <c r="J326" s="270" t="str">
        <f t="shared" si="9"/>
        <v/>
      </c>
      <c r="K326" s="335"/>
      <c r="L326" s="336"/>
      <c r="M326" s="338"/>
    </row>
    <row r="327" spans="2:13">
      <c r="B327" s="271"/>
      <c r="C327" s="271"/>
      <c r="D327" s="271"/>
      <c r="E327" s="271"/>
      <c r="F327" s="271"/>
      <c r="G327" s="271"/>
      <c r="H327" s="271"/>
      <c r="I327" s="334" t="str">
        <f t="shared" si="8"/>
        <v/>
      </c>
      <c r="J327" s="270" t="str">
        <f t="shared" si="9"/>
        <v/>
      </c>
      <c r="K327" s="335"/>
      <c r="L327" s="336"/>
      <c r="M327" s="338"/>
    </row>
    <row r="328" spans="2:13">
      <c r="B328" s="271"/>
      <c r="C328" s="271"/>
      <c r="D328" s="271"/>
      <c r="E328" s="271"/>
      <c r="F328" s="271"/>
      <c r="G328" s="271"/>
      <c r="H328" s="271"/>
      <c r="I328" s="334" t="str">
        <f t="shared" si="8"/>
        <v/>
      </c>
      <c r="J328" s="270" t="str">
        <f t="shared" si="9"/>
        <v/>
      </c>
      <c r="K328" s="335"/>
      <c r="L328" s="336"/>
      <c r="M328" s="338"/>
    </row>
    <row r="329" spans="2:13">
      <c r="B329" s="271"/>
      <c r="C329" s="271"/>
      <c r="D329" s="271"/>
      <c r="E329" s="271"/>
      <c r="F329" s="271"/>
      <c r="G329" s="271"/>
      <c r="H329" s="271"/>
      <c r="I329" s="334" t="str">
        <f t="shared" si="8"/>
        <v/>
      </c>
      <c r="J329" s="270" t="str">
        <f t="shared" si="9"/>
        <v/>
      </c>
      <c r="K329" s="335"/>
      <c r="L329" s="336"/>
      <c r="M329" s="338"/>
    </row>
    <row r="330" spans="2:13">
      <c r="B330" s="271"/>
      <c r="C330" s="271"/>
      <c r="D330" s="271"/>
      <c r="E330" s="271"/>
      <c r="F330" s="271"/>
      <c r="G330" s="271"/>
      <c r="H330" s="271"/>
      <c r="I330" s="334" t="str">
        <f t="shared" si="8"/>
        <v/>
      </c>
      <c r="J330" s="270" t="str">
        <f t="shared" si="9"/>
        <v/>
      </c>
      <c r="K330" s="335"/>
      <c r="L330" s="336"/>
      <c r="M330" s="338"/>
    </row>
    <row r="331" spans="2:13">
      <c r="B331" s="271"/>
      <c r="C331" s="271"/>
      <c r="D331" s="271"/>
      <c r="E331" s="271"/>
      <c r="F331" s="271"/>
      <c r="G331" s="271"/>
      <c r="H331" s="271"/>
      <c r="I331" s="334" t="str">
        <f t="shared" si="8"/>
        <v/>
      </c>
      <c r="J331" s="270" t="str">
        <f t="shared" si="9"/>
        <v/>
      </c>
      <c r="K331" s="335"/>
      <c r="L331" s="336"/>
      <c r="M331" s="338"/>
    </row>
    <row r="332" spans="2:13">
      <c r="B332" s="271"/>
      <c r="C332" s="271"/>
      <c r="D332" s="271"/>
      <c r="E332" s="271"/>
      <c r="F332" s="271"/>
      <c r="G332" s="271"/>
      <c r="H332" s="271"/>
      <c r="I332" s="334" t="str">
        <f t="shared" si="8"/>
        <v/>
      </c>
      <c r="J332" s="270" t="str">
        <f t="shared" si="9"/>
        <v/>
      </c>
      <c r="K332" s="335"/>
      <c r="L332" s="336"/>
      <c r="M332" s="338"/>
    </row>
    <row r="333" spans="2:13">
      <c r="B333" s="271"/>
      <c r="C333" s="271"/>
      <c r="D333" s="271"/>
      <c r="E333" s="271"/>
      <c r="F333" s="271"/>
      <c r="G333" s="271"/>
      <c r="H333" s="271"/>
      <c r="I333" s="334" t="str">
        <f t="shared" si="8"/>
        <v/>
      </c>
      <c r="J333" s="270" t="str">
        <f t="shared" si="9"/>
        <v/>
      </c>
      <c r="K333" s="335"/>
      <c r="L333" s="336"/>
      <c r="M333" s="338"/>
    </row>
    <row r="334" spans="2:13">
      <c r="B334" s="271"/>
      <c r="C334" s="271"/>
      <c r="D334" s="271"/>
      <c r="E334" s="271"/>
      <c r="F334" s="271"/>
      <c r="G334" s="271"/>
      <c r="H334" s="271"/>
      <c r="I334" s="334" t="str">
        <f t="shared" ref="I334:I397" si="10">IF(H334="Large","NRS",IF(H334="International","FRS",IF(H334="SME - Medium","SME",IF(H334="SME - Micro","SME",IF(H334="SME - Small","SME","")))))</f>
        <v/>
      </c>
      <c r="J334" s="270" t="str">
        <f t="shared" ref="J334:J397" si="11">IF(B334="","","No")</f>
        <v/>
      </c>
      <c r="K334" s="335"/>
      <c r="L334" s="336"/>
      <c r="M334" s="338"/>
    </row>
    <row r="335" spans="2:13">
      <c r="B335" s="271"/>
      <c r="C335" s="271"/>
      <c r="D335" s="271"/>
      <c r="E335" s="271"/>
      <c r="F335" s="271"/>
      <c r="G335" s="271"/>
      <c r="H335" s="271"/>
      <c r="I335" s="334" t="str">
        <f t="shared" si="10"/>
        <v/>
      </c>
      <c r="J335" s="270" t="str">
        <f t="shared" si="11"/>
        <v/>
      </c>
      <c r="K335" s="335"/>
      <c r="L335" s="336"/>
      <c r="M335" s="338"/>
    </row>
    <row r="336" spans="2:13">
      <c r="B336" s="271"/>
      <c r="C336" s="271"/>
      <c r="D336" s="271"/>
      <c r="E336" s="271"/>
      <c r="F336" s="271"/>
      <c r="G336" s="271"/>
      <c r="H336" s="271"/>
      <c r="I336" s="334" t="str">
        <f t="shared" si="10"/>
        <v/>
      </c>
      <c r="J336" s="270" t="str">
        <f t="shared" si="11"/>
        <v/>
      </c>
      <c r="K336" s="335"/>
      <c r="L336" s="336"/>
      <c r="M336" s="338"/>
    </row>
    <row r="337" spans="2:13">
      <c r="B337" s="271"/>
      <c r="C337" s="271"/>
      <c r="D337" s="271"/>
      <c r="E337" s="271"/>
      <c r="F337" s="271"/>
      <c r="G337" s="271"/>
      <c r="H337" s="271"/>
      <c r="I337" s="334" t="str">
        <f t="shared" si="10"/>
        <v/>
      </c>
      <c r="J337" s="270" t="str">
        <f t="shared" si="11"/>
        <v/>
      </c>
      <c r="K337" s="335"/>
      <c r="L337" s="336"/>
      <c r="M337" s="338"/>
    </row>
    <row r="338" spans="2:13">
      <c r="B338" s="271"/>
      <c r="C338" s="271"/>
      <c r="D338" s="271"/>
      <c r="E338" s="271"/>
      <c r="F338" s="271"/>
      <c r="G338" s="271"/>
      <c r="H338" s="271"/>
      <c r="I338" s="334" t="str">
        <f t="shared" si="10"/>
        <v/>
      </c>
      <c r="J338" s="270" t="str">
        <f t="shared" si="11"/>
        <v/>
      </c>
      <c r="K338" s="335"/>
      <c r="L338" s="336"/>
      <c r="M338" s="338"/>
    </row>
    <row r="339" spans="2:13">
      <c r="B339" s="271"/>
      <c r="C339" s="271"/>
      <c r="D339" s="271"/>
      <c r="E339" s="271"/>
      <c r="F339" s="271"/>
      <c r="G339" s="271"/>
      <c r="H339" s="271"/>
      <c r="I339" s="334" t="str">
        <f t="shared" si="10"/>
        <v/>
      </c>
      <c r="J339" s="270" t="str">
        <f t="shared" si="11"/>
        <v/>
      </c>
      <c r="K339" s="335"/>
      <c r="L339" s="336"/>
      <c r="M339" s="338"/>
    </row>
    <row r="340" spans="2:13">
      <c r="B340" s="271"/>
      <c r="C340" s="271"/>
      <c r="D340" s="271"/>
      <c r="E340" s="271"/>
      <c r="F340" s="271"/>
      <c r="G340" s="271"/>
      <c r="H340" s="271"/>
      <c r="I340" s="334" t="str">
        <f t="shared" si="10"/>
        <v/>
      </c>
      <c r="J340" s="270" t="str">
        <f t="shared" si="11"/>
        <v/>
      </c>
      <c r="K340" s="335"/>
      <c r="L340" s="336"/>
      <c r="M340" s="338"/>
    </row>
    <row r="341" spans="2:13">
      <c r="B341" s="271"/>
      <c r="C341" s="271"/>
      <c r="D341" s="271"/>
      <c r="E341" s="271"/>
      <c r="F341" s="271"/>
      <c r="G341" s="271"/>
      <c r="H341" s="271"/>
      <c r="I341" s="334" t="str">
        <f t="shared" si="10"/>
        <v/>
      </c>
      <c r="J341" s="270" t="str">
        <f t="shared" si="11"/>
        <v/>
      </c>
      <c r="K341" s="335"/>
      <c r="L341" s="336"/>
      <c r="M341" s="338"/>
    </row>
    <row r="342" spans="2:13">
      <c r="B342" s="271"/>
      <c r="C342" s="271"/>
      <c r="D342" s="271"/>
      <c r="E342" s="271"/>
      <c r="F342" s="271"/>
      <c r="G342" s="271"/>
      <c r="H342" s="271"/>
      <c r="I342" s="334" t="str">
        <f t="shared" si="10"/>
        <v/>
      </c>
      <c r="J342" s="270" t="str">
        <f t="shared" si="11"/>
        <v/>
      </c>
      <c r="K342" s="335"/>
      <c r="L342" s="336"/>
      <c r="M342" s="338"/>
    </row>
    <row r="343" spans="2:13">
      <c r="B343" s="271"/>
      <c r="C343" s="271"/>
      <c r="D343" s="271"/>
      <c r="E343" s="271"/>
      <c r="F343" s="271"/>
      <c r="G343" s="271"/>
      <c r="H343" s="271"/>
      <c r="I343" s="334" t="str">
        <f t="shared" si="10"/>
        <v/>
      </c>
      <c r="J343" s="270" t="str">
        <f t="shared" si="11"/>
        <v/>
      </c>
      <c r="K343" s="335"/>
      <c r="L343" s="336"/>
      <c r="M343" s="338"/>
    </row>
    <row r="344" spans="2:13">
      <c r="B344" s="271"/>
      <c r="C344" s="271"/>
      <c r="D344" s="271"/>
      <c r="E344" s="271"/>
      <c r="F344" s="271"/>
      <c r="G344" s="271"/>
      <c r="H344" s="271"/>
      <c r="I344" s="334" t="str">
        <f t="shared" si="10"/>
        <v/>
      </c>
      <c r="J344" s="270" t="str">
        <f t="shared" si="11"/>
        <v/>
      </c>
      <c r="K344" s="335"/>
      <c r="L344" s="336"/>
      <c r="M344" s="338"/>
    </row>
    <row r="345" spans="2:13">
      <c r="B345" s="271"/>
      <c r="C345" s="271"/>
      <c r="D345" s="271"/>
      <c r="E345" s="271"/>
      <c r="F345" s="271"/>
      <c r="G345" s="271"/>
      <c r="H345" s="271"/>
      <c r="I345" s="334" t="str">
        <f t="shared" si="10"/>
        <v/>
      </c>
      <c r="J345" s="270" t="str">
        <f t="shared" si="11"/>
        <v/>
      </c>
      <c r="K345" s="335"/>
      <c r="L345" s="336"/>
      <c r="M345" s="338"/>
    </row>
    <row r="346" spans="2:13">
      <c r="B346" s="271"/>
      <c r="C346" s="271"/>
      <c r="D346" s="271"/>
      <c r="E346" s="271"/>
      <c r="F346" s="271"/>
      <c r="G346" s="271"/>
      <c r="H346" s="271"/>
      <c r="I346" s="334" t="str">
        <f t="shared" si="10"/>
        <v/>
      </c>
      <c r="J346" s="270" t="str">
        <f t="shared" si="11"/>
        <v/>
      </c>
      <c r="K346" s="335"/>
      <c r="L346" s="336"/>
      <c r="M346" s="338"/>
    </row>
    <row r="347" spans="2:13">
      <c r="B347" s="271"/>
      <c r="C347" s="271"/>
      <c r="D347" s="271"/>
      <c r="E347" s="271"/>
      <c r="F347" s="271"/>
      <c r="G347" s="271"/>
      <c r="H347" s="271"/>
      <c r="I347" s="334" t="str">
        <f t="shared" si="10"/>
        <v/>
      </c>
      <c r="J347" s="270" t="str">
        <f t="shared" si="11"/>
        <v/>
      </c>
      <c r="K347" s="335"/>
      <c r="L347" s="336"/>
      <c r="M347" s="338"/>
    </row>
    <row r="348" spans="2:13">
      <c r="B348" s="271"/>
      <c r="C348" s="271"/>
      <c r="D348" s="271"/>
      <c r="E348" s="271"/>
      <c r="F348" s="271"/>
      <c r="G348" s="271"/>
      <c r="H348" s="271"/>
      <c r="I348" s="334" t="str">
        <f t="shared" si="10"/>
        <v/>
      </c>
      <c r="J348" s="270" t="str">
        <f t="shared" si="11"/>
        <v/>
      </c>
      <c r="K348" s="335"/>
      <c r="L348" s="336"/>
      <c r="M348" s="338"/>
    </row>
    <row r="349" spans="2:13">
      <c r="B349" s="271"/>
      <c r="C349" s="271"/>
      <c r="D349" s="271"/>
      <c r="E349" s="271"/>
      <c r="F349" s="271"/>
      <c r="G349" s="271"/>
      <c r="H349" s="271"/>
      <c r="I349" s="334" t="str">
        <f t="shared" si="10"/>
        <v/>
      </c>
      <c r="J349" s="270" t="str">
        <f t="shared" si="11"/>
        <v/>
      </c>
      <c r="K349" s="335"/>
      <c r="L349" s="336"/>
      <c r="M349" s="338"/>
    </row>
    <row r="350" spans="2:13">
      <c r="B350" s="271"/>
      <c r="C350" s="271"/>
      <c r="D350" s="271"/>
      <c r="E350" s="271"/>
      <c r="F350" s="271"/>
      <c r="G350" s="271"/>
      <c r="H350" s="271"/>
      <c r="I350" s="334" t="str">
        <f t="shared" si="10"/>
        <v/>
      </c>
      <c r="J350" s="270" t="str">
        <f t="shared" si="11"/>
        <v/>
      </c>
      <c r="K350" s="335"/>
      <c r="L350" s="336"/>
      <c r="M350" s="338"/>
    </row>
    <row r="351" spans="2:13">
      <c r="B351" s="271"/>
      <c r="C351" s="271"/>
      <c r="D351" s="271"/>
      <c r="E351" s="271"/>
      <c r="F351" s="271"/>
      <c r="G351" s="271"/>
      <c r="H351" s="271"/>
      <c r="I351" s="334" t="str">
        <f t="shared" si="10"/>
        <v/>
      </c>
      <c r="J351" s="270" t="str">
        <f t="shared" si="11"/>
        <v/>
      </c>
      <c r="K351" s="335"/>
      <c r="L351" s="336"/>
      <c r="M351" s="338"/>
    </row>
    <row r="352" spans="2:13">
      <c r="B352" s="271"/>
      <c r="C352" s="271"/>
      <c r="D352" s="271"/>
      <c r="E352" s="271"/>
      <c r="F352" s="271"/>
      <c r="G352" s="271"/>
      <c r="H352" s="271"/>
      <c r="I352" s="334" t="str">
        <f t="shared" si="10"/>
        <v/>
      </c>
      <c r="J352" s="270" t="str">
        <f t="shared" si="11"/>
        <v/>
      </c>
      <c r="K352" s="335"/>
      <c r="L352" s="336"/>
      <c r="M352" s="338"/>
    </row>
    <row r="353" spans="2:13">
      <c r="B353" s="271"/>
      <c r="C353" s="271"/>
      <c r="D353" s="271"/>
      <c r="E353" s="271"/>
      <c r="F353" s="271"/>
      <c r="G353" s="271"/>
      <c r="H353" s="271"/>
      <c r="I353" s="334" t="str">
        <f t="shared" si="10"/>
        <v/>
      </c>
      <c r="J353" s="270" t="str">
        <f t="shared" si="11"/>
        <v/>
      </c>
      <c r="K353" s="335"/>
      <c r="L353" s="336"/>
      <c r="M353" s="338"/>
    </row>
    <row r="354" spans="2:13">
      <c r="B354" s="271"/>
      <c r="C354" s="271"/>
      <c r="D354" s="271"/>
      <c r="E354" s="271"/>
      <c r="F354" s="271"/>
      <c r="G354" s="271"/>
      <c r="H354" s="271"/>
      <c r="I354" s="334" t="str">
        <f t="shared" si="10"/>
        <v/>
      </c>
      <c r="J354" s="270" t="str">
        <f t="shared" si="11"/>
        <v/>
      </c>
      <c r="K354" s="335"/>
      <c r="L354" s="336"/>
      <c r="M354" s="338"/>
    </row>
    <row r="355" spans="2:13">
      <c r="B355" s="271"/>
      <c r="C355" s="271"/>
      <c r="D355" s="271"/>
      <c r="E355" s="271"/>
      <c r="F355" s="271"/>
      <c r="G355" s="271"/>
      <c r="H355" s="271"/>
      <c r="I355" s="334" t="str">
        <f t="shared" si="10"/>
        <v/>
      </c>
      <c r="J355" s="270" t="str">
        <f t="shared" si="11"/>
        <v/>
      </c>
      <c r="K355" s="335"/>
      <c r="L355" s="336"/>
      <c r="M355" s="338"/>
    </row>
    <row r="356" spans="2:13">
      <c r="B356" s="271"/>
      <c r="C356" s="271"/>
      <c r="D356" s="271"/>
      <c r="E356" s="271"/>
      <c r="F356" s="271"/>
      <c r="G356" s="271"/>
      <c r="H356" s="271"/>
      <c r="I356" s="334" t="str">
        <f t="shared" si="10"/>
        <v/>
      </c>
      <c r="J356" s="270" t="str">
        <f t="shared" si="11"/>
        <v/>
      </c>
      <c r="K356" s="335"/>
      <c r="L356" s="336"/>
      <c r="M356" s="338"/>
    </row>
    <row r="357" spans="2:13">
      <c r="B357" s="271"/>
      <c r="C357" s="271"/>
      <c r="D357" s="271"/>
      <c r="E357" s="271"/>
      <c r="F357" s="271"/>
      <c r="G357" s="271"/>
      <c r="H357" s="271"/>
      <c r="I357" s="334" t="str">
        <f t="shared" si="10"/>
        <v/>
      </c>
      <c r="J357" s="270" t="str">
        <f t="shared" si="11"/>
        <v/>
      </c>
      <c r="K357" s="335"/>
      <c r="L357" s="336"/>
      <c r="M357" s="338"/>
    </row>
    <row r="358" spans="2:13">
      <c r="B358" s="271"/>
      <c r="C358" s="271"/>
      <c r="D358" s="271"/>
      <c r="E358" s="271"/>
      <c r="F358" s="271"/>
      <c r="G358" s="271"/>
      <c r="H358" s="271"/>
      <c r="I358" s="334" t="str">
        <f t="shared" si="10"/>
        <v/>
      </c>
      <c r="J358" s="270" t="str">
        <f t="shared" si="11"/>
        <v/>
      </c>
      <c r="K358" s="335"/>
      <c r="L358" s="336"/>
      <c r="M358" s="338"/>
    </row>
    <row r="359" spans="2:13">
      <c r="B359" s="271"/>
      <c r="C359" s="271"/>
      <c r="D359" s="271"/>
      <c r="E359" s="271"/>
      <c r="F359" s="271"/>
      <c r="G359" s="271"/>
      <c r="H359" s="271"/>
      <c r="I359" s="334" t="str">
        <f t="shared" si="10"/>
        <v/>
      </c>
      <c r="J359" s="270" t="str">
        <f t="shared" si="11"/>
        <v/>
      </c>
      <c r="K359" s="335"/>
      <c r="L359" s="336"/>
      <c r="M359" s="338"/>
    </row>
    <row r="360" spans="2:13">
      <c r="B360" s="271"/>
      <c r="C360" s="271"/>
      <c r="D360" s="271"/>
      <c r="E360" s="271"/>
      <c r="F360" s="271"/>
      <c r="G360" s="271"/>
      <c r="H360" s="271"/>
      <c r="I360" s="334" t="str">
        <f t="shared" si="10"/>
        <v/>
      </c>
      <c r="J360" s="270" t="str">
        <f t="shared" si="11"/>
        <v/>
      </c>
      <c r="K360" s="335"/>
      <c r="L360" s="336"/>
      <c r="M360" s="338"/>
    </row>
    <row r="361" spans="2:13">
      <c r="B361" s="271"/>
      <c r="C361" s="271"/>
      <c r="D361" s="271"/>
      <c r="E361" s="271"/>
      <c r="F361" s="271"/>
      <c r="G361" s="271"/>
      <c r="H361" s="271"/>
      <c r="I361" s="334" t="str">
        <f t="shared" si="10"/>
        <v/>
      </c>
      <c r="J361" s="270" t="str">
        <f t="shared" si="11"/>
        <v/>
      </c>
      <c r="K361" s="335"/>
      <c r="L361" s="336"/>
      <c r="M361" s="338"/>
    </row>
    <row r="362" spans="2:13">
      <c r="B362" s="271"/>
      <c r="C362" s="271"/>
      <c r="D362" s="271"/>
      <c r="E362" s="271"/>
      <c r="F362" s="271"/>
      <c r="G362" s="271"/>
      <c r="H362" s="271"/>
      <c r="I362" s="334" t="str">
        <f t="shared" si="10"/>
        <v/>
      </c>
      <c r="J362" s="270" t="str">
        <f t="shared" si="11"/>
        <v/>
      </c>
      <c r="K362" s="335"/>
      <c r="L362" s="336"/>
      <c r="M362" s="338"/>
    </row>
    <row r="363" spans="2:13">
      <c r="B363" s="271"/>
      <c r="C363" s="271"/>
      <c r="D363" s="271"/>
      <c r="E363" s="271"/>
      <c r="F363" s="271"/>
      <c r="G363" s="271"/>
      <c r="H363" s="271"/>
      <c r="I363" s="334" t="str">
        <f t="shared" si="10"/>
        <v/>
      </c>
      <c r="J363" s="270" t="str">
        <f t="shared" si="11"/>
        <v/>
      </c>
      <c r="K363" s="335"/>
      <c r="L363" s="336"/>
      <c r="M363" s="338"/>
    </row>
    <row r="364" spans="2:13">
      <c r="B364" s="271"/>
      <c r="C364" s="271"/>
      <c r="D364" s="271"/>
      <c r="E364" s="271"/>
      <c r="F364" s="271"/>
      <c r="G364" s="271"/>
      <c r="H364" s="271"/>
      <c r="I364" s="334" t="str">
        <f t="shared" si="10"/>
        <v/>
      </c>
      <c r="J364" s="270" t="str">
        <f t="shared" si="11"/>
        <v/>
      </c>
      <c r="K364" s="335"/>
      <c r="L364" s="336"/>
      <c r="M364" s="338"/>
    </row>
    <row r="365" spans="2:13">
      <c r="B365" s="271"/>
      <c r="C365" s="271"/>
      <c r="D365" s="271"/>
      <c r="E365" s="271"/>
      <c r="F365" s="271"/>
      <c r="G365" s="271"/>
      <c r="H365" s="271"/>
      <c r="I365" s="334" t="str">
        <f t="shared" si="10"/>
        <v/>
      </c>
      <c r="J365" s="270" t="str">
        <f t="shared" si="11"/>
        <v/>
      </c>
      <c r="K365" s="335"/>
      <c r="L365" s="336"/>
      <c r="M365" s="338"/>
    </row>
    <row r="366" spans="2:13">
      <c r="B366" s="271"/>
      <c r="C366" s="271"/>
      <c r="D366" s="271"/>
      <c r="E366" s="271"/>
      <c r="F366" s="271"/>
      <c r="G366" s="271"/>
      <c r="H366" s="271"/>
      <c r="I366" s="334" t="str">
        <f t="shared" si="10"/>
        <v/>
      </c>
      <c r="J366" s="270" t="str">
        <f t="shared" si="11"/>
        <v/>
      </c>
      <c r="K366" s="335"/>
      <c r="L366" s="336"/>
      <c r="M366" s="338"/>
    </row>
    <row r="367" spans="2:13">
      <c r="B367" s="271"/>
      <c r="C367" s="271"/>
      <c r="D367" s="271"/>
      <c r="E367" s="271"/>
      <c r="F367" s="271"/>
      <c r="G367" s="271"/>
      <c r="H367" s="271"/>
      <c r="I367" s="334" t="str">
        <f t="shared" si="10"/>
        <v/>
      </c>
      <c r="J367" s="270" t="str">
        <f t="shared" si="11"/>
        <v/>
      </c>
      <c r="K367" s="335"/>
      <c r="L367" s="336"/>
      <c r="M367" s="338"/>
    </row>
    <row r="368" spans="2:13">
      <c r="B368" s="271"/>
      <c r="C368" s="271"/>
      <c r="D368" s="271"/>
      <c r="E368" s="271"/>
      <c r="F368" s="271"/>
      <c r="G368" s="271"/>
      <c r="H368" s="271"/>
      <c r="I368" s="334" t="str">
        <f t="shared" si="10"/>
        <v/>
      </c>
      <c r="J368" s="270" t="str">
        <f t="shared" si="11"/>
        <v/>
      </c>
      <c r="K368" s="335"/>
      <c r="L368" s="336"/>
      <c r="M368" s="338"/>
    </row>
    <row r="369" spans="2:13">
      <c r="B369" s="271"/>
      <c r="C369" s="271"/>
      <c r="D369" s="271"/>
      <c r="E369" s="271"/>
      <c r="F369" s="271"/>
      <c r="G369" s="271"/>
      <c r="H369" s="271"/>
      <c r="I369" s="334" t="str">
        <f t="shared" si="10"/>
        <v/>
      </c>
      <c r="J369" s="270" t="str">
        <f t="shared" si="11"/>
        <v/>
      </c>
      <c r="K369" s="335"/>
      <c r="L369" s="336"/>
      <c r="M369" s="338"/>
    </row>
    <row r="370" spans="2:13">
      <c r="B370" s="271"/>
      <c r="C370" s="271"/>
      <c r="D370" s="271"/>
      <c r="E370" s="271"/>
      <c r="F370" s="271"/>
      <c r="G370" s="271"/>
      <c r="H370" s="271"/>
      <c r="I370" s="334" t="str">
        <f t="shared" si="10"/>
        <v/>
      </c>
      <c r="J370" s="270" t="str">
        <f t="shared" si="11"/>
        <v/>
      </c>
      <c r="K370" s="335"/>
      <c r="L370" s="336"/>
      <c r="M370" s="338"/>
    </row>
    <row r="371" spans="2:13">
      <c r="B371" s="271"/>
      <c r="C371" s="271"/>
      <c r="D371" s="271"/>
      <c r="E371" s="271"/>
      <c r="F371" s="271"/>
      <c r="G371" s="271"/>
      <c r="H371" s="271"/>
      <c r="I371" s="334" t="str">
        <f t="shared" si="10"/>
        <v/>
      </c>
      <c r="J371" s="270" t="str">
        <f t="shared" si="11"/>
        <v/>
      </c>
      <c r="K371" s="335"/>
      <c r="L371" s="336"/>
      <c r="M371" s="338"/>
    </row>
    <row r="372" spans="2:13">
      <c r="B372" s="271"/>
      <c r="C372" s="271"/>
      <c r="D372" s="271"/>
      <c r="E372" s="271"/>
      <c r="F372" s="271"/>
      <c r="G372" s="271"/>
      <c r="H372" s="271"/>
      <c r="I372" s="334" t="str">
        <f t="shared" si="10"/>
        <v/>
      </c>
      <c r="J372" s="270" t="str">
        <f t="shared" si="11"/>
        <v/>
      </c>
      <c r="K372" s="335"/>
      <c r="L372" s="336"/>
      <c r="M372" s="338"/>
    </row>
    <row r="373" spans="2:13">
      <c r="B373" s="271"/>
      <c r="C373" s="271"/>
      <c r="D373" s="271"/>
      <c r="E373" s="271"/>
      <c r="F373" s="271"/>
      <c r="G373" s="271"/>
      <c r="H373" s="271"/>
      <c r="I373" s="334" t="str">
        <f t="shared" si="10"/>
        <v/>
      </c>
      <c r="J373" s="270" t="str">
        <f t="shared" si="11"/>
        <v/>
      </c>
      <c r="K373" s="335"/>
      <c r="L373" s="336"/>
      <c r="M373" s="338"/>
    </row>
    <row r="374" spans="2:13">
      <c r="B374" s="271"/>
      <c r="C374" s="271"/>
      <c r="D374" s="271"/>
      <c r="E374" s="271"/>
      <c r="F374" s="271"/>
      <c r="G374" s="271"/>
      <c r="H374" s="271"/>
      <c r="I374" s="334" t="str">
        <f t="shared" si="10"/>
        <v/>
      </c>
      <c r="J374" s="270" t="str">
        <f t="shared" si="11"/>
        <v/>
      </c>
      <c r="K374" s="335"/>
      <c r="L374" s="336"/>
      <c r="M374" s="338"/>
    </row>
    <row r="375" spans="2:13">
      <c r="B375" s="271"/>
      <c r="C375" s="271"/>
      <c r="D375" s="271"/>
      <c r="E375" s="271"/>
      <c r="F375" s="271"/>
      <c r="G375" s="271"/>
      <c r="H375" s="271"/>
      <c r="I375" s="334" t="str">
        <f t="shared" si="10"/>
        <v/>
      </c>
      <c r="J375" s="270" t="str">
        <f t="shared" si="11"/>
        <v/>
      </c>
      <c r="K375" s="335"/>
      <c r="L375" s="336"/>
      <c r="M375" s="338"/>
    </row>
    <row r="376" spans="2:13">
      <c r="B376" s="271"/>
      <c r="C376" s="271"/>
      <c r="D376" s="271"/>
      <c r="E376" s="271"/>
      <c r="F376" s="271"/>
      <c r="G376" s="271"/>
      <c r="H376" s="271"/>
      <c r="I376" s="334" t="str">
        <f t="shared" si="10"/>
        <v/>
      </c>
      <c r="J376" s="270" t="str">
        <f t="shared" si="11"/>
        <v/>
      </c>
      <c r="K376" s="335"/>
      <c r="L376" s="336"/>
      <c r="M376" s="338"/>
    </row>
    <row r="377" spans="2:13">
      <c r="B377" s="271"/>
      <c r="C377" s="271"/>
      <c r="D377" s="271"/>
      <c r="E377" s="271"/>
      <c r="F377" s="271"/>
      <c r="G377" s="271"/>
      <c r="H377" s="271"/>
      <c r="I377" s="334" t="str">
        <f t="shared" si="10"/>
        <v/>
      </c>
      <c r="J377" s="270" t="str">
        <f t="shared" si="11"/>
        <v/>
      </c>
      <c r="K377" s="335"/>
      <c r="L377" s="336"/>
      <c r="M377" s="338"/>
    </row>
    <row r="378" spans="2:13">
      <c r="B378" s="271"/>
      <c r="C378" s="271"/>
      <c r="D378" s="271"/>
      <c r="E378" s="271"/>
      <c r="F378" s="271"/>
      <c r="G378" s="271"/>
      <c r="H378" s="271"/>
      <c r="I378" s="334" t="str">
        <f t="shared" si="10"/>
        <v/>
      </c>
      <c r="J378" s="270" t="str">
        <f t="shared" si="11"/>
        <v/>
      </c>
      <c r="K378" s="335"/>
      <c r="L378" s="336"/>
      <c r="M378" s="338"/>
    </row>
    <row r="379" spans="2:13">
      <c r="B379" s="271"/>
      <c r="C379" s="271"/>
      <c r="D379" s="271"/>
      <c r="E379" s="271"/>
      <c r="F379" s="271"/>
      <c r="G379" s="271"/>
      <c r="H379" s="271"/>
      <c r="I379" s="334" t="str">
        <f t="shared" si="10"/>
        <v/>
      </c>
      <c r="J379" s="270" t="str">
        <f t="shared" si="11"/>
        <v/>
      </c>
      <c r="K379" s="335"/>
      <c r="L379" s="336"/>
      <c r="M379" s="338"/>
    </row>
    <row r="380" spans="2:13">
      <c r="B380" s="271"/>
      <c r="C380" s="271"/>
      <c r="D380" s="271"/>
      <c r="E380" s="271"/>
      <c r="F380" s="271"/>
      <c r="G380" s="271"/>
      <c r="H380" s="271"/>
      <c r="I380" s="334" t="str">
        <f t="shared" si="10"/>
        <v/>
      </c>
      <c r="J380" s="270" t="str">
        <f t="shared" si="11"/>
        <v/>
      </c>
      <c r="K380" s="335"/>
      <c r="L380" s="336"/>
      <c r="M380" s="338"/>
    </row>
    <row r="381" spans="2:13">
      <c r="B381" s="271"/>
      <c r="C381" s="271"/>
      <c r="D381" s="271"/>
      <c r="E381" s="271"/>
      <c r="F381" s="271"/>
      <c r="G381" s="271"/>
      <c r="H381" s="271"/>
      <c r="I381" s="334" t="str">
        <f t="shared" si="10"/>
        <v/>
      </c>
      <c r="J381" s="270" t="str">
        <f t="shared" si="11"/>
        <v/>
      </c>
      <c r="K381" s="335"/>
      <c r="L381" s="336"/>
      <c r="M381" s="338"/>
    </row>
    <row r="382" spans="2:13">
      <c r="B382" s="271"/>
      <c r="C382" s="271"/>
      <c r="D382" s="271"/>
      <c r="E382" s="271"/>
      <c r="F382" s="271"/>
      <c r="G382" s="271"/>
      <c r="H382" s="271"/>
      <c r="I382" s="334" t="str">
        <f t="shared" si="10"/>
        <v/>
      </c>
      <c r="J382" s="270" t="str">
        <f t="shared" si="11"/>
        <v/>
      </c>
      <c r="K382" s="335"/>
      <c r="L382" s="336"/>
      <c r="M382" s="338"/>
    </row>
    <row r="383" spans="2:13">
      <c r="B383" s="271"/>
      <c r="C383" s="271"/>
      <c r="D383" s="271"/>
      <c r="E383" s="271"/>
      <c r="F383" s="271"/>
      <c r="G383" s="271"/>
      <c r="H383" s="271"/>
      <c r="I383" s="334" t="str">
        <f t="shared" si="10"/>
        <v/>
      </c>
      <c r="J383" s="270" t="str">
        <f t="shared" si="11"/>
        <v/>
      </c>
      <c r="K383" s="335"/>
      <c r="L383" s="336"/>
      <c r="M383" s="338"/>
    </row>
    <row r="384" spans="2:13">
      <c r="B384" s="271"/>
      <c r="C384" s="271"/>
      <c r="D384" s="271"/>
      <c r="E384" s="271"/>
      <c r="F384" s="271"/>
      <c r="G384" s="271"/>
      <c r="H384" s="271"/>
      <c r="I384" s="334" t="str">
        <f t="shared" si="10"/>
        <v/>
      </c>
      <c r="J384" s="270" t="str">
        <f t="shared" si="11"/>
        <v/>
      </c>
      <c r="K384" s="335"/>
      <c r="L384" s="336"/>
      <c r="M384" s="338"/>
    </row>
    <row r="385" spans="2:13">
      <c r="B385" s="271"/>
      <c r="C385" s="271"/>
      <c r="D385" s="271"/>
      <c r="E385" s="271"/>
      <c r="F385" s="271"/>
      <c r="G385" s="271"/>
      <c r="H385" s="271"/>
      <c r="I385" s="334" t="str">
        <f t="shared" si="10"/>
        <v/>
      </c>
      <c r="J385" s="270" t="str">
        <f t="shared" si="11"/>
        <v/>
      </c>
      <c r="K385" s="335"/>
      <c r="L385" s="336"/>
      <c r="M385" s="338"/>
    </row>
    <row r="386" spans="2:13">
      <c r="B386" s="271"/>
      <c r="C386" s="271"/>
      <c r="D386" s="271"/>
      <c r="E386" s="271"/>
      <c r="F386" s="271"/>
      <c r="G386" s="271"/>
      <c r="H386" s="271"/>
      <c r="I386" s="334" t="str">
        <f t="shared" si="10"/>
        <v/>
      </c>
      <c r="J386" s="270" t="str">
        <f t="shared" si="11"/>
        <v/>
      </c>
      <c r="K386" s="335"/>
      <c r="L386" s="336"/>
      <c r="M386" s="338"/>
    </row>
    <row r="387" spans="2:13">
      <c r="B387" s="271"/>
      <c r="C387" s="271"/>
      <c r="D387" s="271"/>
      <c r="E387" s="271"/>
      <c r="F387" s="271"/>
      <c r="G387" s="271"/>
      <c r="H387" s="271"/>
      <c r="I387" s="334" t="str">
        <f t="shared" si="10"/>
        <v/>
      </c>
      <c r="J387" s="270" t="str">
        <f t="shared" si="11"/>
        <v/>
      </c>
      <c r="K387" s="335"/>
      <c r="L387" s="336"/>
      <c r="M387" s="338"/>
    </row>
    <row r="388" spans="2:13">
      <c r="B388" s="271"/>
      <c r="C388" s="271"/>
      <c r="D388" s="271"/>
      <c r="E388" s="271"/>
      <c r="F388" s="271"/>
      <c r="G388" s="271"/>
      <c r="H388" s="271"/>
      <c r="I388" s="334" t="str">
        <f t="shared" si="10"/>
        <v/>
      </c>
      <c r="J388" s="270" t="str">
        <f t="shared" si="11"/>
        <v/>
      </c>
      <c r="K388" s="335"/>
      <c r="L388" s="336"/>
      <c r="M388" s="338"/>
    </row>
    <row r="389" spans="2:13">
      <c r="B389" s="271"/>
      <c r="C389" s="271"/>
      <c r="D389" s="271"/>
      <c r="E389" s="271"/>
      <c r="F389" s="271"/>
      <c r="G389" s="271"/>
      <c r="H389" s="271"/>
      <c r="I389" s="334" t="str">
        <f t="shared" si="10"/>
        <v/>
      </c>
      <c r="J389" s="270" t="str">
        <f t="shared" si="11"/>
        <v/>
      </c>
      <c r="K389" s="335"/>
      <c r="L389" s="336"/>
      <c r="M389" s="338"/>
    </row>
    <row r="390" spans="2:13">
      <c r="B390" s="271"/>
      <c r="C390" s="271"/>
      <c r="D390" s="271"/>
      <c r="E390" s="271"/>
      <c r="F390" s="271"/>
      <c r="G390" s="271"/>
      <c r="H390" s="271"/>
      <c r="I390" s="334" t="str">
        <f t="shared" si="10"/>
        <v/>
      </c>
      <c r="J390" s="270" t="str">
        <f t="shared" si="11"/>
        <v/>
      </c>
      <c r="K390" s="335"/>
      <c r="L390" s="336"/>
      <c r="M390" s="338"/>
    </row>
    <row r="391" spans="2:13">
      <c r="B391" s="271"/>
      <c r="C391" s="271"/>
      <c r="D391" s="271"/>
      <c r="E391" s="271"/>
      <c r="F391" s="271"/>
      <c r="G391" s="271"/>
      <c r="H391" s="271"/>
      <c r="I391" s="334" t="str">
        <f t="shared" si="10"/>
        <v/>
      </c>
      <c r="J391" s="270" t="str">
        <f t="shared" si="11"/>
        <v/>
      </c>
      <c r="K391" s="335"/>
      <c r="L391" s="336"/>
      <c r="M391" s="338"/>
    </row>
    <row r="392" spans="2:13">
      <c r="B392" s="271"/>
      <c r="C392" s="271"/>
      <c r="D392" s="271"/>
      <c r="E392" s="271"/>
      <c r="F392" s="271"/>
      <c r="G392" s="271"/>
      <c r="H392" s="271"/>
      <c r="I392" s="334" t="str">
        <f t="shared" si="10"/>
        <v/>
      </c>
      <c r="J392" s="270" t="str">
        <f t="shared" si="11"/>
        <v/>
      </c>
      <c r="K392" s="335"/>
      <c r="L392" s="336"/>
      <c r="M392" s="338"/>
    </row>
    <row r="393" spans="2:13">
      <c r="B393" s="271"/>
      <c r="C393" s="271"/>
      <c r="D393" s="271"/>
      <c r="E393" s="271"/>
      <c r="F393" s="271"/>
      <c r="G393" s="271"/>
      <c r="H393" s="271"/>
      <c r="I393" s="334" t="str">
        <f t="shared" si="10"/>
        <v/>
      </c>
      <c r="J393" s="270" t="str">
        <f t="shared" si="11"/>
        <v/>
      </c>
      <c r="K393" s="335"/>
      <c r="L393" s="336"/>
      <c r="M393" s="338"/>
    </row>
    <row r="394" spans="2:13">
      <c r="B394" s="271"/>
      <c r="C394" s="271"/>
      <c r="D394" s="271"/>
      <c r="E394" s="271"/>
      <c r="F394" s="271"/>
      <c r="G394" s="271"/>
      <c r="H394" s="271"/>
      <c r="I394" s="334" t="str">
        <f t="shared" si="10"/>
        <v/>
      </c>
      <c r="J394" s="270" t="str">
        <f t="shared" si="11"/>
        <v/>
      </c>
      <c r="K394" s="335"/>
      <c r="L394" s="336"/>
      <c r="M394" s="338"/>
    </row>
    <row r="395" spans="2:13">
      <c r="B395" s="271"/>
      <c r="C395" s="271"/>
      <c r="D395" s="271"/>
      <c r="E395" s="271"/>
      <c r="F395" s="271"/>
      <c r="G395" s="271"/>
      <c r="H395" s="271"/>
      <c r="I395" s="334" t="str">
        <f t="shared" si="10"/>
        <v/>
      </c>
      <c r="J395" s="270" t="str">
        <f t="shared" si="11"/>
        <v/>
      </c>
      <c r="K395" s="335"/>
      <c r="L395" s="336"/>
      <c r="M395" s="338"/>
    </row>
    <row r="396" spans="2:13">
      <c r="B396" s="271"/>
      <c r="C396" s="271"/>
      <c r="D396" s="271"/>
      <c r="E396" s="271"/>
      <c r="F396" s="271"/>
      <c r="G396" s="271"/>
      <c r="H396" s="271"/>
      <c r="I396" s="334" t="str">
        <f t="shared" si="10"/>
        <v/>
      </c>
      <c r="J396" s="270" t="str">
        <f t="shared" si="11"/>
        <v/>
      </c>
      <c r="K396" s="335"/>
      <c r="L396" s="336"/>
      <c r="M396" s="338"/>
    </row>
    <row r="397" spans="2:13">
      <c r="B397" s="271"/>
      <c r="C397" s="271"/>
      <c r="D397" s="271"/>
      <c r="E397" s="271"/>
      <c r="F397" s="271"/>
      <c r="G397" s="271"/>
      <c r="H397" s="271"/>
      <c r="I397" s="334" t="str">
        <f t="shared" si="10"/>
        <v/>
      </c>
      <c r="J397" s="270" t="str">
        <f t="shared" si="11"/>
        <v/>
      </c>
      <c r="K397" s="335"/>
      <c r="L397" s="336"/>
      <c r="M397" s="338"/>
    </row>
    <row r="398" spans="2:13">
      <c r="B398" s="271"/>
      <c r="C398" s="271"/>
      <c r="D398" s="271"/>
      <c r="E398" s="271"/>
      <c r="F398" s="271"/>
      <c r="G398" s="271"/>
      <c r="H398" s="271"/>
      <c r="I398" s="334" t="str">
        <f t="shared" ref="I398:I461" si="12">IF(H398="Large","NRS",IF(H398="International","FRS",IF(H398="SME - Medium","SME",IF(H398="SME - Micro","SME",IF(H398="SME - Small","SME","")))))</f>
        <v/>
      </c>
      <c r="J398" s="270" t="str">
        <f t="shared" ref="J398:J461" si="13">IF(B398="","","No")</f>
        <v/>
      </c>
      <c r="K398" s="335"/>
      <c r="L398" s="336"/>
      <c r="M398" s="338"/>
    </row>
    <row r="399" spans="2:13">
      <c r="B399" s="271"/>
      <c r="C399" s="271"/>
      <c r="D399" s="271"/>
      <c r="E399" s="271"/>
      <c r="F399" s="271"/>
      <c r="G399" s="271"/>
      <c r="H399" s="271"/>
      <c r="I399" s="334" t="str">
        <f t="shared" si="12"/>
        <v/>
      </c>
      <c r="J399" s="270" t="str">
        <f t="shared" si="13"/>
        <v/>
      </c>
      <c r="K399" s="335"/>
      <c r="L399" s="336"/>
      <c r="M399" s="338"/>
    </row>
    <row r="400" spans="2:13">
      <c r="B400" s="271"/>
      <c r="C400" s="271"/>
      <c r="D400" s="271"/>
      <c r="E400" s="271"/>
      <c r="F400" s="271"/>
      <c r="G400" s="271"/>
      <c r="H400" s="271"/>
      <c r="I400" s="334" t="str">
        <f t="shared" si="12"/>
        <v/>
      </c>
      <c r="J400" s="270" t="str">
        <f t="shared" si="13"/>
        <v/>
      </c>
      <c r="K400" s="335"/>
      <c r="L400" s="336"/>
      <c r="M400" s="338"/>
    </row>
    <row r="401" spans="2:13">
      <c r="B401" s="271"/>
      <c r="C401" s="271"/>
      <c r="D401" s="271"/>
      <c r="E401" s="271"/>
      <c r="F401" s="271"/>
      <c r="G401" s="271"/>
      <c r="H401" s="271"/>
      <c r="I401" s="334" t="str">
        <f t="shared" si="12"/>
        <v/>
      </c>
      <c r="J401" s="270" t="str">
        <f t="shared" si="13"/>
        <v/>
      </c>
      <c r="K401" s="335"/>
      <c r="L401" s="336"/>
      <c r="M401" s="338"/>
    </row>
    <row r="402" spans="2:13">
      <c r="B402" s="271"/>
      <c r="C402" s="271"/>
      <c r="D402" s="271"/>
      <c r="E402" s="271"/>
      <c r="F402" s="271"/>
      <c r="G402" s="271"/>
      <c r="H402" s="271"/>
      <c r="I402" s="334" t="str">
        <f t="shared" si="12"/>
        <v/>
      </c>
      <c r="J402" s="270" t="str">
        <f t="shared" si="13"/>
        <v/>
      </c>
      <c r="K402" s="335"/>
      <c r="L402" s="336"/>
      <c r="M402" s="338"/>
    </row>
    <row r="403" spans="2:13">
      <c r="B403" s="271"/>
      <c r="C403" s="271"/>
      <c r="D403" s="271"/>
      <c r="E403" s="271"/>
      <c r="F403" s="271"/>
      <c r="G403" s="271"/>
      <c r="H403" s="271"/>
      <c r="I403" s="334" t="str">
        <f t="shared" si="12"/>
        <v/>
      </c>
      <c r="J403" s="270" t="str">
        <f t="shared" si="13"/>
        <v/>
      </c>
      <c r="K403" s="335"/>
      <c r="L403" s="336"/>
      <c r="M403" s="338"/>
    </row>
    <row r="404" spans="2:13">
      <c r="B404" s="271"/>
      <c r="C404" s="271"/>
      <c r="D404" s="271"/>
      <c r="E404" s="271"/>
      <c r="F404" s="271"/>
      <c r="G404" s="271"/>
      <c r="H404" s="271"/>
      <c r="I404" s="334" t="str">
        <f t="shared" si="12"/>
        <v/>
      </c>
      <c r="J404" s="270" t="str">
        <f t="shared" si="13"/>
        <v/>
      </c>
      <c r="K404" s="335"/>
      <c r="L404" s="336"/>
      <c r="M404" s="338"/>
    </row>
    <row r="405" spans="2:13">
      <c r="B405" s="271"/>
      <c r="C405" s="271"/>
      <c r="D405" s="271"/>
      <c r="E405" s="271"/>
      <c r="F405" s="271"/>
      <c r="G405" s="271"/>
      <c r="H405" s="271"/>
      <c r="I405" s="334" t="str">
        <f t="shared" si="12"/>
        <v/>
      </c>
      <c r="J405" s="270" t="str">
        <f t="shared" si="13"/>
        <v/>
      </c>
      <c r="K405" s="335"/>
      <c r="L405" s="336"/>
      <c r="M405" s="338"/>
    </row>
    <row r="406" spans="2:13">
      <c r="B406" s="271"/>
      <c r="C406" s="271"/>
      <c r="D406" s="271"/>
      <c r="E406" s="271"/>
      <c r="F406" s="271"/>
      <c r="G406" s="271"/>
      <c r="H406" s="271"/>
      <c r="I406" s="334" t="str">
        <f t="shared" si="12"/>
        <v/>
      </c>
      <c r="J406" s="270" t="str">
        <f t="shared" si="13"/>
        <v/>
      </c>
      <c r="K406" s="335"/>
      <c r="L406" s="336"/>
      <c r="M406" s="338"/>
    </row>
    <row r="407" spans="2:13">
      <c r="B407" s="271"/>
      <c r="C407" s="271"/>
      <c r="D407" s="271"/>
      <c r="E407" s="271"/>
      <c r="F407" s="271"/>
      <c r="G407" s="271"/>
      <c r="H407" s="271"/>
      <c r="I407" s="334" t="str">
        <f t="shared" si="12"/>
        <v/>
      </c>
      <c r="J407" s="270" t="str">
        <f t="shared" si="13"/>
        <v/>
      </c>
      <c r="K407" s="335"/>
      <c r="L407" s="336"/>
      <c r="M407" s="338"/>
    </row>
    <row r="408" spans="2:13">
      <c r="B408" s="271"/>
      <c r="C408" s="271"/>
      <c r="D408" s="271"/>
      <c r="E408" s="271"/>
      <c r="F408" s="271"/>
      <c r="G408" s="271"/>
      <c r="H408" s="271"/>
      <c r="I408" s="334" t="str">
        <f t="shared" si="12"/>
        <v/>
      </c>
      <c r="J408" s="270" t="str">
        <f t="shared" si="13"/>
        <v/>
      </c>
      <c r="K408" s="335"/>
      <c r="L408" s="336"/>
      <c r="M408" s="338"/>
    </row>
    <row r="409" spans="2:13">
      <c r="B409" s="271"/>
      <c r="C409" s="271"/>
      <c r="D409" s="271"/>
      <c r="E409" s="271"/>
      <c r="F409" s="271"/>
      <c r="G409" s="271"/>
      <c r="H409" s="271"/>
      <c r="I409" s="334" t="str">
        <f t="shared" si="12"/>
        <v/>
      </c>
      <c r="J409" s="270" t="str">
        <f t="shared" si="13"/>
        <v/>
      </c>
      <c r="K409" s="335"/>
      <c r="L409" s="336"/>
      <c r="M409" s="338"/>
    </row>
    <row r="410" spans="2:13">
      <c r="B410" s="271"/>
      <c r="C410" s="271"/>
      <c r="D410" s="271"/>
      <c r="E410" s="271"/>
      <c r="F410" s="271"/>
      <c r="G410" s="271"/>
      <c r="H410" s="271"/>
      <c r="I410" s="334" t="str">
        <f t="shared" si="12"/>
        <v/>
      </c>
      <c r="J410" s="270" t="str">
        <f t="shared" si="13"/>
        <v/>
      </c>
      <c r="K410" s="335"/>
      <c r="L410" s="336"/>
      <c r="M410" s="338"/>
    </row>
    <row r="411" spans="2:13">
      <c r="B411" s="271"/>
      <c r="C411" s="271"/>
      <c r="D411" s="271"/>
      <c r="E411" s="271"/>
      <c r="F411" s="271"/>
      <c r="G411" s="271"/>
      <c r="H411" s="271"/>
      <c r="I411" s="334" t="str">
        <f t="shared" si="12"/>
        <v/>
      </c>
      <c r="J411" s="270" t="str">
        <f t="shared" si="13"/>
        <v/>
      </c>
      <c r="K411" s="335"/>
      <c r="L411" s="336"/>
      <c r="M411" s="338"/>
    </row>
    <row r="412" spans="2:13">
      <c r="B412" s="271"/>
      <c r="C412" s="271"/>
      <c r="D412" s="271"/>
      <c r="E412" s="271"/>
      <c r="F412" s="271"/>
      <c r="G412" s="271"/>
      <c r="H412" s="271"/>
      <c r="I412" s="334" t="str">
        <f t="shared" si="12"/>
        <v/>
      </c>
      <c r="J412" s="270" t="str">
        <f t="shared" si="13"/>
        <v/>
      </c>
      <c r="K412" s="335"/>
      <c r="L412" s="336"/>
      <c r="M412" s="338"/>
    </row>
    <row r="413" spans="2:13">
      <c r="B413" s="271"/>
      <c r="C413" s="271"/>
      <c r="D413" s="271"/>
      <c r="E413" s="271"/>
      <c r="F413" s="271"/>
      <c r="G413" s="271"/>
      <c r="H413" s="271"/>
      <c r="I413" s="334" t="str">
        <f t="shared" si="12"/>
        <v/>
      </c>
      <c r="J413" s="270" t="str">
        <f t="shared" si="13"/>
        <v/>
      </c>
      <c r="K413" s="335"/>
      <c r="L413" s="336"/>
      <c r="M413" s="338"/>
    </row>
    <row r="414" spans="2:13">
      <c r="B414" s="271"/>
      <c r="C414" s="271"/>
      <c r="D414" s="271"/>
      <c r="E414" s="271"/>
      <c r="F414" s="271"/>
      <c r="G414" s="271"/>
      <c r="H414" s="271"/>
      <c r="I414" s="334" t="str">
        <f t="shared" si="12"/>
        <v/>
      </c>
      <c r="J414" s="270" t="str">
        <f t="shared" si="13"/>
        <v/>
      </c>
      <c r="K414" s="335"/>
      <c r="L414" s="336"/>
      <c r="M414" s="338"/>
    </row>
    <row r="415" spans="2:13">
      <c r="B415" s="271"/>
      <c r="C415" s="271"/>
      <c r="D415" s="271"/>
      <c r="E415" s="271"/>
      <c r="F415" s="271"/>
      <c r="G415" s="271"/>
      <c r="H415" s="271"/>
      <c r="I415" s="334" t="str">
        <f t="shared" si="12"/>
        <v/>
      </c>
      <c r="J415" s="270" t="str">
        <f t="shared" si="13"/>
        <v/>
      </c>
      <c r="K415" s="335"/>
      <c r="L415" s="336"/>
      <c r="M415" s="338"/>
    </row>
    <row r="416" spans="2:13">
      <c r="B416" s="271"/>
      <c r="C416" s="271"/>
      <c r="D416" s="271"/>
      <c r="E416" s="271"/>
      <c r="F416" s="271"/>
      <c r="G416" s="271"/>
      <c r="H416" s="271"/>
      <c r="I416" s="334" t="str">
        <f t="shared" si="12"/>
        <v/>
      </c>
      <c r="J416" s="270" t="str">
        <f t="shared" si="13"/>
        <v/>
      </c>
      <c r="K416" s="335"/>
      <c r="L416" s="336"/>
      <c r="M416" s="338"/>
    </row>
    <row r="417" spans="2:13">
      <c r="B417" s="271"/>
      <c r="C417" s="271"/>
      <c r="D417" s="271"/>
      <c r="E417" s="271"/>
      <c r="F417" s="271"/>
      <c r="G417" s="271"/>
      <c r="H417" s="271"/>
      <c r="I417" s="334" t="str">
        <f t="shared" si="12"/>
        <v/>
      </c>
      <c r="J417" s="270" t="str">
        <f t="shared" si="13"/>
        <v/>
      </c>
      <c r="K417" s="335"/>
      <c r="L417" s="336"/>
      <c r="M417" s="338"/>
    </row>
    <row r="418" spans="2:13">
      <c r="B418" s="271"/>
      <c r="C418" s="271"/>
      <c r="D418" s="271"/>
      <c r="E418" s="271"/>
      <c r="F418" s="271"/>
      <c r="G418" s="271"/>
      <c r="H418" s="271"/>
      <c r="I418" s="334" t="str">
        <f t="shared" si="12"/>
        <v/>
      </c>
      <c r="J418" s="270" t="str">
        <f t="shared" si="13"/>
        <v/>
      </c>
      <c r="K418" s="335"/>
      <c r="L418" s="336"/>
      <c r="M418" s="338"/>
    </row>
    <row r="419" spans="2:13">
      <c r="B419" s="271"/>
      <c r="C419" s="271"/>
      <c r="D419" s="271"/>
      <c r="E419" s="271"/>
      <c r="F419" s="271"/>
      <c r="G419" s="271"/>
      <c r="H419" s="271"/>
      <c r="I419" s="334" t="str">
        <f t="shared" si="12"/>
        <v/>
      </c>
      <c r="J419" s="270" t="str">
        <f t="shared" si="13"/>
        <v/>
      </c>
      <c r="K419" s="335"/>
      <c r="L419" s="336"/>
      <c r="M419" s="338"/>
    </row>
    <row r="420" spans="2:13">
      <c r="B420" s="271"/>
      <c r="C420" s="271"/>
      <c r="D420" s="271"/>
      <c r="E420" s="271"/>
      <c r="F420" s="271"/>
      <c r="G420" s="271"/>
      <c r="H420" s="271"/>
      <c r="I420" s="334" t="str">
        <f t="shared" si="12"/>
        <v/>
      </c>
      <c r="J420" s="270" t="str">
        <f t="shared" si="13"/>
        <v/>
      </c>
      <c r="K420" s="335"/>
      <c r="L420" s="336"/>
      <c r="M420" s="338"/>
    </row>
    <row r="421" spans="2:13">
      <c r="B421" s="271"/>
      <c r="C421" s="271"/>
      <c r="D421" s="271"/>
      <c r="E421" s="271"/>
      <c r="F421" s="271"/>
      <c r="G421" s="271"/>
      <c r="H421" s="271"/>
      <c r="I421" s="334" t="str">
        <f t="shared" si="12"/>
        <v/>
      </c>
      <c r="J421" s="270" t="str">
        <f t="shared" si="13"/>
        <v/>
      </c>
      <c r="K421" s="335"/>
      <c r="L421" s="336"/>
      <c r="M421" s="338"/>
    </row>
    <row r="422" spans="2:13">
      <c r="B422" s="271"/>
      <c r="C422" s="271"/>
      <c r="D422" s="271"/>
      <c r="E422" s="271"/>
      <c r="F422" s="271"/>
      <c r="G422" s="271"/>
      <c r="H422" s="271"/>
      <c r="I422" s="334" t="str">
        <f t="shared" si="12"/>
        <v/>
      </c>
      <c r="J422" s="270" t="str">
        <f t="shared" si="13"/>
        <v/>
      </c>
      <c r="K422" s="335"/>
      <c r="L422" s="336"/>
      <c r="M422" s="338"/>
    </row>
    <row r="423" spans="2:13">
      <c r="B423" s="271"/>
      <c r="C423" s="271"/>
      <c r="D423" s="271"/>
      <c r="E423" s="271"/>
      <c r="F423" s="271"/>
      <c r="G423" s="271"/>
      <c r="H423" s="271"/>
      <c r="I423" s="334" t="str">
        <f t="shared" si="12"/>
        <v/>
      </c>
      <c r="J423" s="270" t="str">
        <f t="shared" si="13"/>
        <v/>
      </c>
      <c r="K423" s="335"/>
      <c r="L423" s="336"/>
      <c r="M423" s="338"/>
    </row>
    <row r="424" spans="2:13">
      <c r="B424" s="271"/>
      <c r="C424" s="271"/>
      <c r="D424" s="271"/>
      <c r="E424" s="271"/>
      <c r="F424" s="271"/>
      <c r="G424" s="271"/>
      <c r="H424" s="271"/>
      <c r="I424" s="334" t="str">
        <f t="shared" si="12"/>
        <v/>
      </c>
      <c r="J424" s="270" t="str">
        <f t="shared" si="13"/>
        <v/>
      </c>
      <c r="K424" s="335"/>
      <c r="L424" s="336"/>
      <c r="M424" s="338"/>
    </row>
    <row r="425" spans="2:13">
      <c r="B425" s="271"/>
      <c r="C425" s="271"/>
      <c r="D425" s="271"/>
      <c r="E425" s="271"/>
      <c r="F425" s="271"/>
      <c r="G425" s="271"/>
      <c r="H425" s="271"/>
      <c r="I425" s="334" t="str">
        <f t="shared" si="12"/>
        <v/>
      </c>
      <c r="J425" s="270" t="str">
        <f t="shared" si="13"/>
        <v/>
      </c>
      <c r="K425" s="335"/>
      <c r="L425" s="336"/>
      <c r="M425" s="338"/>
    </row>
    <row r="426" spans="2:13">
      <c r="B426" s="271"/>
      <c r="C426" s="271"/>
      <c r="D426" s="271"/>
      <c r="E426" s="271"/>
      <c r="F426" s="271"/>
      <c r="G426" s="271"/>
      <c r="H426" s="271"/>
      <c r="I426" s="334" t="str">
        <f t="shared" si="12"/>
        <v/>
      </c>
      <c r="J426" s="270" t="str">
        <f t="shared" si="13"/>
        <v/>
      </c>
      <c r="K426" s="335"/>
      <c r="L426" s="336"/>
      <c r="M426" s="338"/>
    </row>
    <row r="427" spans="2:13">
      <c r="B427" s="271"/>
      <c r="C427" s="271"/>
      <c r="D427" s="271"/>
      <c r="E427" s="271"/>
      <c r="F427" s="271"/>
      <c r="G427" s="271"/>
      <c r="H427" s="271"/>
      <c r="I427" s="334" t="str">
        <f t="shared" si="12"/>
        <v/>
      </c>
      <c r="J427" s="270" t="str">
        <f t="shared" si="13"/>
        <v/>
      </c>
      <c r="K427" s="335"/>
      <c r="L427" s="336"/>
      <c r="M427" s="338"/>
    </row>
    <row r="428" spans="2:13">
      <c r="B428" s="271"/>
      <c r="C428" s="271"/>
      <c r="D428" s="271"/>
      <c r="E428" s="271"/>
      <c r="F428" s="271"/>
      <c r="G428" s="271"/>
      <c r="H428" s="271"/>
      <c r="I428" s="334" t="str">
        <f t="shared" si="12"/>
        <v/>
      </c>
      <c r="J428" s="270" t="str">
        <f t="shared" si="13"/>
        <v/>
      </c>
      <c r="K428" s="335"/>
      <c r="L428" s="336"/>
      <c r="M428" s="338"/>
    </row>
    <row r="429" spans="2:13">
      <c r="B429" s="271"/>
      <c r="C429" s="271"/>
      <c r="D429" s="271"/>
      <c r="E429" s="271"/>
      <c r="F429" s="271"/>
      <c r="G429" s="271"/>
      <c r="H429" s="271"/>
      <c r="I429" s="334" t="str">
        <f t="shared" si="12"/>
        <v/>
      </c>
      <c r="J429" s="270" t="str">
        <f t="shared" si="13"/>
        <v/>
      </c>
      <c r="K429" s="335"/>
      <c r="L429" s="336"/>
      <c r="M429" s="338"/>
    </row>
    <row r="430" spans="2:13">
      <c r="B430" s="271"/>
      <c r="C430" s="271"/>
      <c r="D430" s="271"/>
      <c r="E430" s="271"/>
      <c r="F430" s="271"/>
      <c r="G430" s="271"/>
      <c r="H430" s="271"/>
      <c r="I430" s="334" t="str">
        <f t="shared" si="12"/>
        <v/>
      </c>
      <c r="J430" s="270" t="str">
        <f t="shared" si="13"/>
        <v/>
      </c>
      <c r="K430" s="335"/>
      <c r="L430" s="336"/>
      <c r="M430" s="338"/>
    </row>
    <row r="431" spans="2:13">
      <c r="B431" s="271"/>
      <c r="C431" s="271"/>
      <c r="D431" s="271"/>
      <c r="E431" s="271"/>
      <c r="F431" s="271"/>
      <c r="G431" s="271"/>
      <c r="H431" s="271"/>
      <c r="I431" s="334" t="str">
        <f t="shared" si="12"/>
        <v/>
      </c>
      <c r="J431" s="270" t="str">
        <f t="shared" si="13"/>
        <v/>
      </c>
      <c r="K431" s="335"/>
      <c r="L431" s="336"/>
      <c r="M431" s="338"/>
    </row>
    <row r="432" spans="2:13">
      <c r="B432" s="271"/>
      <c r="C432" s="271"/>
      <c r="D432" s="271"/>
      <c r="E432" s="271"/>
      <c r="F432" s="271"/>
      <c r="G432" s="271"/>
      <c r="H432" s="271"/>
      <c r="I432" s="334" t="str">
        <f t="shared" si="12"/>
        <v/>
      </c>
      <c r="J432" s="270" t="str">
        <f t="shared" si="13"/>
        <v/>
      </c>
      <c r="K432" s="335"/>
      <c r="L432" s="336"/>
      <c r="M432" s="338"/>
    </row>
    <row r="433" spans="2:13">
      <c r="B433" s="271"/>
      <c r="C433" s="271"/>
      <c r="D433" s="271"/>
      <c r="E433" s="271"/>
      <c r="F433" s="271"/>
      <c r="G433" s="271"/>
      <c r="H433" s="271"/>
      <c r="I433" s="334" t="str">
        <f t="shared" si="12"/>
        <v/>
      </c>
      <c r="J433" s="270" t="str">
        <f t="shared" si="13"/>
        <v/>
      </c>
      <c r="K433" s="335"/>
      <c r="L433" s="336"/>
      <c r="M433" s="338"/>
    </row>
    <row r="434" spans="2:13">
      <c r="B434" s="271"/>
      <c r="C434" s="271"/>
      <c r="D434" s="271"/>
      <c r="E434" s="271"/>
      <c r="F434" s="271"/>
      <c r="G434" s="271"/>
      <c r="H434" s="271"/>
      <c r="I434" s="334" t="str">
        <f t="shared" si="12"/>
        <v/>
      </c>
      <c r="J434" s="270" t="str">
        <f t="shared" si="13"/>
        <v/>
      </c>
      <c r="K434" s="335"/>
      <c r="L434" s="336"/>
      <c r="M434" s="338"/>
    </row>
    <row r="435" spans="2:13">
      <c r="B435" s="271"/>
      <c r="C435" s="271"/>
      <c r="D435" s="271"/>
      <c r="E435" s="271"/>
      <c r="F435" s="271"/>
      <c r="G435" s="271"/>
      <c r="H435" s="271"/>
      <c r="I435" s="334" t="str">
        <f t="shared" si="12"/>
        <v/>
      </c>
      <c r="J435" s="270" t="str">
        <f t="shared" si="13"/>
        <v/>
      </c>
      <c r="K435" s="335"/>
      <c r="L435" s="336"/>
      <c r="M435" s="338"/>
    </row>
    <row r="436" spans="2:13">
      <c r="B436" s="271"/>
      <c r="C436" s="271"/>
      <c r="D436" s="271"/>
      <c r="E436" s="271"/>
      <c r="F436" s="271"/>
      <c r="G436" s="271"/>
      <c r="H436" s="271"/>
      <c r="I436" s="334" t="str">
        <f t="shared" si="12"/>
        <v/>
      </c>
      <c r="J436" s="270" t="str">
        <f t="shared" si="13"/>
        <v/>
      </c>
      <c r="K436" s="335"/>
      <c r="L436" s="336"/>
      <c r="M436" s="338"/>
    </row>
    <row r="437" spans="2:13">
      <c r="B437" s="271"/>
      <c r="C437" s="271"/>
      <c r="D437" s="271"/>
      <c r="E437" s="271"/>
      <c r="F437" s="271"/>
      <c r="G437" s="271"/>
      <c r="H437" s="271"/>
      <c r="I437" s="334" t="str">
        <f t="shared" si="12"/>
        <v/>
      </c>
      <c r="J437" s="270" t="str">
        <f t="shared" si="13"/>
        <v/>
      </c>
      <c r="K437" s="335"/>
      <c r="L437" s="336"/>
      <c r="M437" s="338"/>
    </row>
    <row r="438" spans="2:13">
      <c r="B438" s="271"/>
      <c r="C438" s="271"/>
      <c r="D438" s="271"/>
      <c r="E438" s="271"/>
      <c r="F438" s="271"/>
      <c r="G438" s="271"/>
      <c r="H438" s="271"/>
      <c r="I438" s="334" t="str">
        <f t="shared" si="12"/>
        <v/>
      </c>
      <c r="J438" s="270" t="str">
        <f t="shared" si="13"/>
        <v/>
      </c>
      <c r="K438" s="335"/>
      <c r="L438" s="336"/>
      <c r="M438" s="338"/>
    </row>
    <row r="439" spans="2:13">
      <c r="B439" s="271"/>
      <c r="C439" s="271"/>
      <c r="D439" s="271"/>
      <c r="E439" s="271"/>
      <c r="F439" s="271"/>
      <c r="G439" s="271"/>
      <c r="H439" s="271"/>
      <c r="I439" s="334" t="str">
        <f t="shared" si="12"/>
        <v/>
      </c>
      <c r="J439" s="270" t="str">
        <f t="shared" si="13"/>
        <v/>
      </c>
      <c r="K439" s="335"/>
      <c r="L439" s="336"/>
      <c r="M439" s="338"/>
    </row>
    <row r="440" spans="2:13">
      <c r="B440" s="271"/>
      <c r="C440" s="271"/>
      <c r="D440" s="271"/>
      <c r="E440" s="271"/>
      <c r="F440" s="271"/>
      <c r="G440" s="271"/>
      <c r="H440" s="271"/>
      <c r="I440" s="334" t="str">
        <f t="shared" si="12"/>
        <v/>
      </c>
      <c r="J440" s="270" t="str">
        <f t="shared" si="13"/>
        <v/>
      </c>
      <c r="K440" s="335"/>
      <c r="L440" s="336"/>
      <c r="M440" s="338"/>
    </row>
    <row r="441" spans="2:13">
      <c r="B441" s="271"/>
      <c r="C441" s="271"/>
      <c r="D441" s="271"/>
      <c r="E441" s="271"/>
      <c r="F441" s="271"/>
      <c r="G441" s="271"/>
      <c r="H441" s="271"/>
      <c r="I441" s="334" t="str">
        <f t="shared" si="12"/>
        <v/>
      </c>
      <c r="J441" s="270" t="str">
        <f t="shared" si="13"/>
        <v/>
      </c>
      <c r="K441" s="335"/>
      <c r="L441" s="336"/>
      <c r="M441" s="338"/>
    </row>
    <row r="442" spans="2:13">
      <c r="B442" s="271"/>
      <c r="C442" s="271"/>
      <c r="D442" s="271"/>
      <c r="E442" s="271"/>
      <c r="F442" s="271"/>
      <c r="G442" s="271"/>
      <c r="H442" s="271"/>
      <c r="I442" s="334" t="str">
        <f t="shared" si="12"/>
        <v/>
      </c>
      <c r="J442" s="270" t="str">
        <f t="shared" si="13"/>
        <v/>
      </c>
      <c r="K442" s="335"/>
      <c r="L442" s="336"/>
      <c r="M442" s="338"/>
    </row>
    <row r="443" spans="2:13">
      <c r="B443" s="271"/>
      <c r="C443" s="271"/>
      <c r="D443" s="271"/>
      <c r="E443" s="271"/>
      <c r="F443" s="271"/>
      <c r="G443" s="271"/>
      <c r="H443" s="271"/>
      <c r="I443" s="334" t="str">
        <f t="shared" si="12"/>
        <v/>
      </c>
      <c r="J443" s="270" t="str">
        <f t="shared" si="13"/>
        <v/>
      </c>
      <c r="K443" s="335"/>
      <c r="L443" s="336"/>
      <c r="M443" s="338"/>
    </row>
    <row r="444" spans="2:13">
      <c r="B444" s="271"/>
      <c r="C444" s="271"/>
      <c r="D444" s="271"/>
      <c r="E444" s="271"/>
      <c r="F444" s="271"/>
      <c r="G444" s="271"/>
      <c r="H444" s="271"/>
      <c r="I444" s="334" t="str">
        <f t="shared" si="12"/>
        <v/>
      </c>
      <c r="J444" s="270" t="str">
        <f t="shared" si="13"/>
        <v/>
      </c>
      <c r="K444" s="335"/>
      <c r="L444" s="336"/>
      <c r="M444" s="338"/>
    </row>
    <row r="445" spans="2:13">
      <c r="B445" s="271"/>
      <c r="C445" s="271"/>
      <c r="D445" s="271"/>
      <c r="E445" s="271"/>
      <c r="F445" s="271"/>
      <c r="G445" s="271"/>
      <c r="H445" s="271"/>
      <c r="I445" s="334" t="str">
        <f t="shared" si="12"/>
        <v/>
      </c>
      <c r="J445" s="270" t="str">
        <f t="shared" si="13"/>
        <v/>
      </c>
      <c r="K445" s="335"/>
      <c r="L445" s="336"/>
      <c r="M445" s="338"/>
    </row>
    <row r="446" spans="2:13">
      <c r="B446" s="271"/>
      <c r="C446" s="271"/>
      <c r="D446" s="271"/>
      <c r="E446" s="271"/>
      <c r="F446" s="271"/>
      <c r="G446" s="271"/>
      <c r="H446" s="271"/>
      <c r="I446" s="334" t="str">
        <f t="shared" si="12"/>
        <v/>
      </c>
      <c r="J446" s="270" t="str">
        <f t="shared" si="13"/>
        <v/>
      </c>
      <c r="K446" s="335"/>
      <c r="L446" s="336"/>
      <c r="M446" s="338"/>
    </row>
    <row r="447" spans="2:13">
      <c r="B447" s="271"/>
      <c r="C447" s="271"/>
      <c r="D447" s="271"/>
      <c r="E447" s="271"/>
      <c r="F447" s="271"/>
      <c r="G447" s="271"/>
      <c r="H447" s="271"/>
      <c r="I447" s="334" t="str">
        <f t="shared" si="12"/>
        <v/>
      </c>
      <c r="J447" s="270" t="str">
        <f t="shared" si="13"/>
        <v/>
      </c>
      <c r="K447" s="335"/>
      <c r="L447" s="336"/>
      <c r="M447" s="338"/>
    </row>
    <row r="448" spans="2:13">
      <c r="B448" s="271"/>
      <c r="C448" s="271"/>
      <c r="D448" s="271"/>
      <c r="E448" s="271"/>
      <c r="F448" s="271"/>
      <c r="G448" s="271"/>
      <c r="H448" s="271"/>
      <c r="I448" s="334" t="str">
        <f t="shared" si="12"/>
        <v/>
      </c>
      <c r="J448" s="270" t="str">
        <f t="shared" si="13"/>
        <v/>
      </c>
      <c r="K448" s="335"/>
      <c r="L448" s="336"/>
      <c r="M448" s="338"/>
    </row>
    <row r="449" spans="2:13">
      <c r="B449" s="271"/>
      <c r="C449" s="271"/>
      <c r="D449" s="271"/>
      <c r="E449" s="271"/>
      <c r="F449" s="271"/>
      <c r="G449" s="271"/>
      <c r="H449" s="271"/>
      <c r="I449" s="334" t="str">
        <f t="shared" si="12"/>
        <v/>
      </c>
      <c r="J449" s="270" t="str">
        <f t="shared" si="13"/>
        <v/>
      </c>
      <c r="K449" s="335"/>
      <c r="L449" s="336"/>
      <c r="M449" s="338"/>
    </row>
    <row r="450" spans="2:13">
      <c r="B450" s="271"/>
      <c r="C450" s="271"/>
      <c r="D450" s="271"/>
      <c r="E450" s="271"/>
      <c r="F450" s="271"/>
      <c r="G450" s="271"/>
      <c r="H450" s="271"/>
      <c r="I450" s="334" t="str">
        <f t="shared" si="12"/>
        <v/>
      </c>
      <c r="J450" s="270" t="str">
        <f t="shared" si="13"/>
        <v/>
      </c>
      <c r="K450" s="335"/>
      <c r="L450" s="336"/>
      <c r="M450" s="338"/>
    </row>
    <row r="451" spans="2:13">
      <c r="B451" s="271"/>
      <c r="C451" s="271"/>
      <c r="D451" s="271"/>
      <c r="E451" s="271"/>
      <c r="F451" s="271"/>
      <c r="G451" s="271"/>
      <c r="H451" s="271"/>
      <c r="I451" s="334" t="str">
        <f t="shared" si="12"/>
        <v/>
      </c>
      <c r="J451" s="270" t="str">
        <f t="shared" si="13"/>
        <v/>
      </c>
      <c r="K451" s="335"/>
      <c r="L451" s="336"/>
      <c r="M451" s="338"/>
    </row>
    <row r="452" spans="2:13">
      <c r="B452" s="271"/>
      <c r="C452" s="271"/>
      <c r="D452" s="271"/>
      <c r="E452" s="271"/>
      <c r="F452" s="271"/>
      <c r="G452" s="271"/>
      <c r="H452" s="271"/>
      <c r="I452" s="334" t="str">
        <f t="shared" si="12"/>
        <v/>
      </c>
      <c r="J452" s="270" t="str">
        <f t="shared" si="13"/>
        <v/>
      </c>
      <c r="K452" s="335"/>
      <c r="L452" s="336"/>
      <c r="M452" s="338"/>
    </row>
    <row r="453" spans="2:13">
      <c r="B453" s="271"/>
      <c r="C453" s="271"/>
      <c r="D453" s="271"/>
      <c r="E453" s="271"/>
      <c r="F453" s="271"/>
      <c r="G453" s="271"/>
      <c r="H453" s="271"/>
      <c r="I453" s="334" t="str">
        <f t="shared" si="12"/>
        <v/>
      </c>
      <c r="J453" s="270" t="str">
        <f t="shared" si="13"/>
        <v/>
      </c>
      <c r="K453" s="335"/>
      <c r="L453" s="336"/>
      <c r="M453" s="338"/>
    </row>
    <row r="454" spans="2:13">
      <c r="B454" s="271"/>
      <c r="C454" s="271"/>
      <c r="D454" s="271"/>
      <c r="E454" s="271"/>
      <c r="F454" s="271"/>
      <c r="G454" s="271"/>
      <c r="H454" s="271"/>
      <c r="I454" s="334" t="str">
        <f t="shared" si="12"/>
        <v/>
      </c>
      <c r="J454" s="270" t="str">
        <f t="shared" si="13"/>
        <v/>
      </c>
      <c r="K454" s="335"/>
      <c r="L454" s="336"/>
      <c r="M454" s="338"/>
    </row>
    <row r="455" spans="2:13">
      <c r="B455" s="271"/>
      <c r="C455" s="271"/>
      <c r="D455" s="271"/>
      <c r="E455" s="271"/>
      <c r="F455" s="271"/>
      <c r="G455" s="271"/>
      <c r="H455" s="271"/>
      <c r="I455" s="334" t="str">
        <f t="shared" si="12"/>
        <v/>
      </c>
      <c r="J455" s="270" t="str">
        <f t="shared" si="13"/>
        <v/>
      </c>
      <c r="K455" s="335"/>
      <c r="L455" s="336"/>
      <c r="M455" s="338"/>
    </row>
    <row r="456" spans="2:13">
      <c r="B456" s="271"/>
      <c r="C456" s="271"/>
      <c r="D456" s="271"/>
      <c r="E456" s="271"/>
      <c r="F456" s="271"/>
      <c r="G456" s="271"/>
      <c r="H456" s="271"/>
      <c r="I456" s="334" t="str">
        <f t="shared" si="12"/>
        <v/>
      </c>
      <c r="J456" s="270" t="str">
        <f t="shared" si="13"/>
        <v/>
      </c>
      <c r="K456" s="335"/>
      <c r="L456" s="336"/>
      <c r="M456" s="338"/>
    </row>
    <row r="457" spans="2:13">
      <c r="B457" s="271"/>
      <c r="C457" s="271"/>
      <c r="D457" s="271"/>
      <c r="E457" s="271"/>
      <c r="F457" s="271"/>
      <c r="G457" s="271"/>
      <c r="H457" s="271"/>
      <c r="I457" s="334" t="str">
        <f t="shared" si="12"/>
        <v/>
      </c>
      <c r="J457" s="270" t="str">
        <f t="shared" si="13"/>
        <v/>
      </c>
      <c r="K457" s="335"/>
      <c r="L457" s="336"/>
      <c r="M457" s="338"/>
    </row>
    <row r="458" spans="2:13">
      <c r="B458" s="271"/>
      <c r="C458" s="271"/>
      <c r="D458" s="271"/>
      <c r="E458" s="271"/>
      <c r="F458" s="271"/>
      <c r="G458" s="271"/>
      <c r="H458" s="271"/>
      <c r="I458" s="334" t="str">
        <f t="shared" si="12"/>
        <v/>
      </c>
      <c r="J458" s="270" t="str">
        <f t="shared" si="13"/>
        <v/>
      </c>
      <c r="K458" s="335"/>
      <c r="L458" s="336"/>
      <c r="M458" s="338"/>
    </row>
    <row r="459" spans="2:13">
      <c r="B459" s="271"/>
      <c r="C459" s="271"/>
      <c r="D459" s="271"/>
      <c r="E459" s="271"/>
      <c r="F459" s="271"/>
      <c r="G459" s="271"/>
      <c r="H459" s="271"/>
      <c r="I459" s="334" t="str">
        <f t="shared" si="12"/>
        <v/>
      </c>
      <c r="J459" s="270" t="str">
        <f t="shared" si="13"/>
        <v/>
      </c>
      <c r="K459" s="335"/>
      <c r="L459" s="336"/>
      <c r="M459" s="338"/>
    </row>
    <row r="460" spans="2:13">
      <c r="B460" s="271"/>
      <c r="C460" s="271"/>
      <c r="D460" s="271"/>
      <c r="E460" s="271"/>
      <c r="F460" s="271"/>
      <c r="G460" s="271"/>
      <c r="H460" s="271"/>
      <c r="I460" s="334" t="str">
        <f t="shared" si="12"/>
        <v/>
      </c>
      <c r="J460" s="270" t="str">
        <f t="shared" si="13"/>
        <v/>
      </c>
      <c r="K460" s="335"/>
      <c r="L460" s="336"/>
      <c r="M460" s="338"/>
    </row>
    <row r="461" spans="2:13">
      <c r="B461" s="271"/>
      <c r="C461" s="271"/>
      <c r="D461" s="271"/>
      <c r="E461" s="271"/>
      <c r="F461" s="271"/>
      <c r="G461" s="271"/>
      <c r="H461" s="271"/>
      <c r="I461" s="334" t="str">
        <f t="shared" si="12"/>
        <v/>
      </c>
      <c r="J461" s="270" t="str">
        <f t="shared" si="13"/>
        <v/>
      </c>
      <c r="K461" s="335"/>
      <c r="L461" s="336"/>
      <c r="M461" s="338"/>
    </row>
    <row r="462" spans="2:13">
      <c r="B462" s="271"/>
      <c r="C462" s="271"/>
      <c r="D462" s="271"/>
      <c r="E462" s="271"/>
      <c r="F462" s="271"/>
      <c r="G462" s="271"/>
      <c r="H462" s="271"/>
      <c r="I462" s="334" t="str">
        <f t="shared" ref="I462:I525" si="14">IF(H462="Large","NRS",IF(H462="International","FRS",IF(H462="SME - Medium","SME",IF(H462="SME - Micro","SME",IF(H462="SME - Small","SME","")))))</f>
        <v/>
      </c>
      <c r="J462" s="270" t="str">
        <f t="shared" ref="J462:J525" si="15">IF(B462="","","No")</f>
        <v/>
      </c>
      <c r="K462" s="335"/>
      <c r="L462" s="336"/>
      <c r="M462" s="338"/>
    </row>
    <row r="463" spans="2:13">
      <c r="B463" s="271"/>
      <c r="C463" s="271"/>
      <c r="D463" s="271"/>
      <c r="E463" s="271"/>
      <c r="F463" s="271"/>
      <c r="G463" s="271"/>
      <c r="H463" s="271"/>
      <c r="I463" s="334" t="str">
        <f t="shared" si="14"/>
        <v/>
      </c>
      <c r="J463" s="270" t="str">
        <f t="shared" si="15"/>
        <v/>
      </c>
      <c r="K463" s="335"/>
      <c r="L463" s="336"/>
      <c r="M463" s="338"/>
    </row>
    <row r="464" spans="2:13">
      <c r="B464" s="271"/>
      <c r="C464" s="271"/>
      <c r="D464" s="271"/>
      <c r="E464" s="271"/>
      <c r="F464" s="271"/>
      <c r="G464" s="271"/>
      <c r="H464" s="271"/>
      <c r="I464" s="334" t="str">
        <f t="shared" si="14"/>
        <v/>
      </c>
      <c r="J464" s="270" t="str">
        <f t="shared" si="15"/>
        <v/>
      </c>
      <c r="K464" s="335"/>
      <c r="L464" s="336"/>
      <c r="M464" s="338"/>
    </row>
    <row r="465" spans="2:13">
      <c r="B465" s="271"/>
      <c r="C465" s="271"/>
      <c r="D465" s="271"/>
      <c r="E465" s="271"/>
      <c r="F465" s="271"/>
      <c r="G465" s="271"/>
      <c r="H465" s="271"/>
      <c r="I465" s="334" t="str">
        <f t="shared" si="14"/>
        <v/>
      </c>
      <c r="J465" s="270" t="str">
        <f t="shared" si="15"/>
        <v/>
      </c>
      <c r="K465" s="335"/>
      <c r="L465" s="336"/>
      <c r="M465" s="338"/>
    </row>
    <row r="466" spans="2:13">
      <c r="B466" s="271"/>
      <c r="C466" s="271"/>
      <c r="D466" s="271"/>
      <c r="E466" s="271"/>
      <c r="F466" s="271"/>
      <c r="G466" s="271"/>
      <c r="H466" s="271"/>
      <c r="I466" s="334" t="str">
        <f t="shared" si="14"/>
        <v/>
      </c>
      <c r="J466" s="270" t="str">
        <f t="shared" si="15"/>
        <v/>
      </c>
      <c r="K466" s="335"/>
      <c r="L466" s="336"/>
      <c r="M466" s="338"/>
    </row>
    <row r="467" spans="2:13">
      <c r="B467" s="271"/>
      <c r="C467" s="271"/>
      <c r="D467" s="271"/>
      <c r="E467" s="271"/>
      <c r="F467" s="271"/>
      <c r="G467" s="271"/>
      <c r="H467" s="271"/>
      <c r="I467" s="334" t="str">
        <f t="shared" si="14"/>
        <v/>
      </c>
      <c r="J467" s="270" t="str">
        <f t="shared" si="15"/>
        <v/>
      </c>
      <c r="K467" s="335"/>
      <c r="L467" s="336"/>
      <c r="M467" s="338"/>
    </row>
    <row r="468" spans="2:13">
      <c r="B468" s="271"/>
      <c r="C468" s="271"/>
      <c r="D468" s="271"/>
      <c r="E468" s="271"/>
      <c r="F468" s="271"/>
      <c r="G468" s="271"/>
      <c r="H468" s="271"/>
      <c r="I468" s="334" t="str">
        <f t="shared" si="14"/>
        <v/>
      </c>
      <c r="J468" s="270" t="str">
        <f t="shared" si="15"/>
        <v/>
      </c>
      <c r="K468" s="335"/>
      <c r="L468" s="336"/>
      <c r="M468" s="338"/>
    </row>
    <row r="469" spans="2:13">
      <c r="B469" s="271"/>
      <c r="C469" s="271"/>
      <c r="D469" s="271"/>
      <c r="E469" s="271"/>
      <c r="F469" s="271"/>
      <c r="G469" s="271"/>
      <c r="H469" s="271"/>
      <c r="I469" s="334" t="str">
        <f t="shared" si="14"/>
        <v/>
      </c>
      <c r="J469" s="270" t="str">
        <f t="shared" si="15"/>
        <v/>
      </c>
      <c r="K469" s="335"/>
      <c r="L469" s="336"/>
      <c r="M469" s="338"/>
    </row>
    <row r="470" spans="2:13">
      <c r="B470" s="271"/>
      <c r="C470" s="271"/>
      <c r="D470" s="271"/>
      <c r="E470" s="271"/>
      <c r="F470" s="271"/>
      <c r="G470" s="271"/>
      <c r="H470" s="271"/>
      <c r="I470" s="334" t="str">
        <f t="shared" si="14"/>
        <v/>
      </c>
      <c r="J470" s="270" t="str">
        <f t="shared" si="15"/>
        <v/>
      </c>
      <c r="K470" s="335"/>
      <c r="L470" s="336"/>
      <c r="M470" s="338"/>
    </row>
    <row r="471" spans="2:13">
      <c r="B471" s="271"/>
      <c r="C471" s="271"/>
      <c r="D471" s="271"/>
      <c r="E471" s="271"/>
      <c r="F471" s="271"/>
      <c r="G471" s="271"/>
      <c r="H471" s="271"/>
      <c r="I471" s="334" t="str">
        <f t="shared" si="14"/>
        <v/>
      </c>
      <c r="J471" s="270" t="str">
        <f t="shared" si="15"/>
        <v/>
      </c>
      <c r="K471" s="335"/>
      <c r="L471" s="336"/>
      <c r="M471" s="338"/>
    </row>
    <row r="472" spans="2:13">
      <c r="B472" s="271"/>
      <c r="C472" s="271"/>
      <c r="D472" s="271"/>
      <c r="E472" s="271"/>
      <c r="F472" s="271"/>
      <c r="G472" s="271"/>
      <c r="H472" s="271"/>
      <c r="I472" s="334" t="str">
        <f t="shared" si="14"/>
        <v/>
      </c>
      <c r="J472" s="270" t="str">
        <f t="shared" si="15"/>
        <v/>
      </c>
      <c r="K472" s="335"/>
      <c r="L472" s="336"/>
      <c r="M472" s="338"/>
    </row>
    <row r="473" spans="2:13">
      <c r="B473" s="271"/>
      <c r="C473" s="271"/>
      <c r="D473" s="271"/>
      <c r="E473" s="271"/>
      <c r="F473" s="271"/>
      <c r="G473" s="271"/>
      <c r="H473" s="271"/>
      <c r="I473" s="334" t="str">
        <f t="shared" si="14"/>
        <v/>
      </c>
      <c r="J473" s="270" t="str">
        <f t="shared" si="15"/>
        <v/>
      </c>
      <c r="K473" s="335"/>
      <c r="L473" s="336"/>
      <c r="M473" s="338"/>
    </row>
    <row r="474" spans="2:13">
      <c r="B474" s="271"/>
      <c r="C474" s="271"/>
      <c r="D474" s="271"/>
      <c r="E474" s="271"/>
      <c r="F474" s="271"/>
      <c r="G474" s="271"/>
      <c r="H474" s="271"/>
      <c r="I474" s="334" t="str">
        <f t="shared" si="14"/>
        <v/>
      </c>
      <c r="J474" s="270" t="str">
        <f t="shared" si="15"/>
        <v/>
      </c>
      <c r="K474" s="335"/>
      <c r="L474" s="336"/>
      <c r="M474" s="338"/>
    </row>
    <row r="475" spans="2:13">
      <c r="B475" s="271"/>
      <c r="C475" s="271"/>
      <c r="D475" s="271"/>
      <c r="E475" s="271"/>
      <c r="F475" s="271"/>
      <c r="G475" s="271"/>
      <c r="H475" s="271"/>
      <c r="I475" s="334" t="str">
        <f t="shared" si="14"/>
        <v/>
      </c>
      <c r="J475" s="270" t="str">
        <f t="shared" si="15"/>
        <v/>
      </c>
      <c r="K475" s="335"/>
      <c r="L475" s="336"/>
      <c r="M475" s="338"/>
    </row>
    <row r="476" spans="2:13">
      <c r="B476" s="271"/>
      <c r="C476" s="271"/>
      <c r="D476" s="271"/>
      <c r="E476" s="271"/>
      <c r="F476" s="271"/>
      <c r="G476" s="271"/>
      <c r="H476" s="271"/>
      <c r="I476" s="334" t="str">
        <f t="shared" si="14"/>
        <v/>
      </c>
      <c r="J476" s="270" t="str">
        <f t="shared" si="15"/>
        <v/>
      </c>
      <c r="K476" s="335"/>
      <c r="L476" s="336"/>
      <c r="M476" s="338"/>
    </row>
    <row r="477" spans="2:13">
      <c r="B477" s="271"/>
      <c r="C477" s="271"/>
      <c r="D477" s="271"/>
      <c r="E477" s="271"/>
      <c r="F477" s="271"/>
      <c r="G477" s="271"/>
      <c r="H477" s="271"/>
      <c r="I477" s="334" t="str">
        <f t="shared" si="14"/>
        <v/>
      </c>
      <c r="J477" s="270" t="str">
        <f t="shared" si="15"/>
        <v/>
      </c>
      <c r="K477" s="335"/>
      <c r="L477" s="336"/>
      <c r="M477" s="338"/>
    </row>
    <row r="478" spans="2:13">
      <c r="B478" s="271"/>
      <c r="C478" s="271"/>
      <c r="D478" s="271"/>
      <c r="E478" s="271"/>
      <c r="F478" s="271"/>
      <c r="G478" s="271"/>
      <c r="H478" s="271"/>
      <c r="I478" s="334" t="str">
        <f t="shared" si="14"/>
        <v/>
      </c>
      <c r="J478" s="270" t="str">
        <f t="shared" si="15"/>
        <v/>
      </c>
      <c r="K478" s="335"/>
      <c r="L478" s="336"/>
      <c r="M478" s="338"/>
    </row>
    <row r="479" spans="2:13">
      <c r="B479" s="271"/>
      <c r="C479" s="271"/>
      <c r="D479" s="271"/>
      <c r="E479" s="271"/>
      <c r="F479" s="271"/>
      <c r="G479" s="271"/>
      <c r="H479" s="271"/>
      <c r="I479" s="334" t="str">
        <f t="shared" si="14"/>
        <v/>
      </c>
      <c r="J479" s="270" t="str">
        <f t="shared" si="15"/>
        <v/>
      </c>
      <c r="K479" s="335"/>
      <c r="L479" s="336"/>
      <c r="M479" s="338"/>
    </row>
    <row r="480" spans="2:13">
      <c r="B480" s="271"/>
      <c r="C480" s="271"/>
      <c r="D480" s="271"/>
      <c r="E480" s="271"/>
      <c r="F480" s="271"/>
      <c r="G480" s="271"/>
      <c r="H480" s="271"/>
      <c r="I480" s="334" t="str">
        <f t="shared" si="14"/>
        <v/>
      </c>
      <c r="J480" s="270" t="str">
        <f t="shared" si="15"/>
        <v/>
      </c>
      <c r="K480" s="335"/>
      <c r="L480" s="336"/>
      <c r="M480" s="338"/>
    </row>
    <row r="481" spans="2:13">
      <c r="B481" s="271"/>
      <c r="C481" s="271"/>
      <c r="D481" s="271"/>
      <c r="E481" s="271"/>
      <c r="F481" s="271"/>
      <c r="G481" s="271"/>
      <c r="H481" s="271"/>
      <c r="I481" s="334" t="str">
        <f t="shared" si="14"/>
        <v/>
      </c>
      <c r="J481" s="270" t="str">
        <f t="shared" si="15"/>
        <v/>
      </c>
      <c r="K481" s="335"/>
      <c r="L481" s="336"/>
      <c r="M481" s="338"/>
    </row>
    <row r="482" spans="2:13">
      <c r="B482" s="271"/>
      <c r="C482" s="271"/>
      <c r="D482" s="271"/>
      <c r="E482" s="271"/>
      <c r="F482" s="271"/>
      <c r="G482" s="271"/>
      <c r="H482" s="271"/>
      <c r="I482" s="334" t="str">
        <f t="shared" si="14"/>
        <v/>
      </c>
      <c r="J482" s="270" t="str">
        <f t="shared" si="15"/>
        <v/>
      </c>
      <c r="K482" s="335"/>
      <c r="L482" s="336"/>
      <c r="M482" s="338"/>
    </row>
    <row r="483" spans="2:13">
      <c r="B483" s="271"/>
      <c r="C483" s="271"/>
      <c r="D483" s="271"/>
      <c r="E483" s="271"/>
      <c r="F483" s="271"/>
      <c r="G483" s="271"/>
      <c r="H483" s="271"/>
      <c r="I483" s="334" t="str">
        <f t="shared" si="14"/>
        <v/>
      </c>
      <c r="J483" s="270" t="str">
        <f t="shared" si="15"/>
        <v/>
      </c>
      <c r="K483" s="335"/>
      <c r="L483" s="336"/>
      <c r="M483" s="338"/>
    </row>
    <row r="484" spans="2:13">
      <c r="B484" s="271"/>
      <c r="C484" s="271"/>
      <c r="D484" s="271"/>
      <c r="E484" s="271"/>
      <c r="F484" s="271"/>
      <c r="G484" s="271"/>
      <c r="H484" s="271"/>
      <c r="I484" s="334" t="str">
        <f t="shared" si="14"/>
        <v/>
      </c>
      <c r="J484" s="270" t="str">
        <f t="shared" si="15"/>
        <v/>
      </c>
      <c r="K484" s="335"/>
      <c r="L484" s="336"/>
      <c r="M484" s="338"/>
    </row>
    <row r="485" spans="2:13">
      <c r="B485" s="271"/>
      <c r="C485" s="271"/>
      <c r="D485" s="271"/>
      <c r="E485" s="271"/>
      <c r="F485" s="271"/>
      <c r="G485" s="271"/>
      <c r="H485" s="271"/>
      <c r="I485" s="334" t="str">
        <f t="shared" si="14"/>
        <v/>
      </c>
      <c r="J485" s="270" t="str">
        <f t="shared" si="15"/>
        <v/>
      </c>
      <c r="K485" s="335"/>
      <c r="L485" s="336"/>
      <c r="M485" s="338"/>
    </row>
    <row r="486" spans="2:13">
      <c r="B486" s="271"/>
      <c r="C486" s="271"/>
      <c r="D486" s="271"/>
      <c r="E486" s="271"/>
      <c r="F486" s="271"/>
      <c r="G486" s="271"/>
      <c r="H486" s="271"/>
      <c r="I486" s="334" t="str">
        <f t="shared" si="14"/>
        <v/>
      </c>
      <c r="J486" s="270" t="str">
        <f t="shared" si="15"/>
        <v/>
      </c>
      <c r="K486" s="335"/>
      <c r="L486" s="336"/>
      <c r="M486" s="338"/>
    </row>
    <row r="487" spans="2:13">
      <c r="B487" s="271"/>
      <c r="C487" s="271"/>
      <c r="D487" s="271"/>
      <c r="E487" s="271"/>
      <c r="F487" s="271"/>
      <c r="G487" s="271"/>
      <c r="H487" s="271"/>
      <c r="I487" s="334" t="str">
        <f t="shared" si="14"/>
        <v/>
      </c>
      <c r="J487" s="270" t="str">
        <f t="shared" si="15"/>
        <v/>
      </c>
      <c r="K487" s="335"/>
      <c r="L487" s="336"/>
      <c r="M487" s="338"/>
    </row>
    <row r="488" spans="2:13">
      <c r="B488" s="271"/>
      <c r="C488" s="271"/>
      <c r="D488" s="271"/>
      <c r="E488" s="271"/>
      <c r="F488" s="271"/>
      <c r="G488" s="271"/>
      <c r="H488" s="271"/>
      <c r="I488" s="334" t="str">
        <f t="shared" si="14"/>
        <v/>
      </c>
      <c r="J488" s="270" t="str">
        <f t="shared" si="15"/>
        <v/>
      </c>
      <c r="K488" s="335"/>
      <c r="L488" s="336"/>
      <c r="M488" s="338"/>
    </row>
    <row r="489" spans="2:13">
      <c r="B489" s="271"/>
      <c r="C489" s="271"/>
      <c r="D489" s="271"/>
      <c r="E489" s="271"/>
      <c r="F489" s="271"/>
      <c r="G489" s="271"/>
      <c r="H489" s="271"/>
      <c r="I489" s="334" t="str">
        <f t="shared" si="14"/>
        <v/>
      </c>
      <c r="J489" s="270" t="str">
        <f t="shared" si="15"/>
        <v/>
      </c>
      <c r="K489" s="335"/>
      <c r="L489" s="336"/>
      <c r="M489" s="338"/>
    </row>
    <row r="490" spans="2:13">
      <c r="B490" s="271"/>
      <c r="C490" s="271"/>
      <c r="D490" s="271"/>
      <c r="E490" s="271"/>
      <c r="F490" s="271"/>
      <c r="G490" s="271"/>
      <c r="H490" s="271"/>
      <c r="I490" s="334" t="str">
        <f t="shared" si="14"/>
        <v/>
      </c>
      <c r="J490" s="270" t="str">
        <f t="shared" si="15"/>
        <v/>
      </c>
      <c r="K490" s="335"/>
      <c r="L490" s="336"/>
      <c r="M490" s="338"/>
    </row>
    <row r="491" spans="2:13">
      <c r="B491" s="271"/>
      <c r="C491" s="271"/>
      <c r="D491" s="271"/>
      <c r="E491" s="271"/>
      <c r="F491" s="271"/>
      <c r="G491" s="271"/>
      <c r="H491" s="271"/>
      <c r="I491" s="334" t="str">
        <f t="shared" si="14"/>
        <v/>
      </c>
      <c r="J491" s="270" t="str">
        <f t="shared" si="15"/>
        <v/>
      </c>
      <c r="K491" s="335"/>
      <c r="L491" s="336"/>
      <c r="M491" s="338"/>
    </row>
    <row r="492" spans="2:13">
      <c r="B492" s="271"/>
      <c r="C492" s="271"/>
      <c r="D492" s="271"/>
      <c r="E492" s="271"/>
      <c r="F492" s="271"/>
      <c r="G492" s="271"/>
      <c r="H492" s="271"/>
      <c r="I492" s="334" t="str">
        <f t="shared" si="14"/>
        <v/>
      </c>
      <c r="J492" s="270" t="str">
        <f t="shared" si="15"/>
        <v/>
      </c>
      <c r="K492" s="335"/>
      <c r="L492" s="336"/>
      <c r="M492" s="338"/>
    </row>
    <row r="493" spans="2:13">
      <c r="B493" s="271"/>
      <c r="C493" s="271"/>
      <c r="D493" s="271"/>
      <c r="E493" s="271"/>
      <c r="F493" s="271"/>
      <c r="G493" s="271"/>
      <c r="H493" s="271"/>
      <c r="I493" s="334" t="str">
        <f t="shared" si="14"/>
        <v/>
      </c>
      <c r="J493" s="270" t="str">
        <f t="shared" si="15"/>
        <v/>
      </c>
      <c r="K493" s="335"/>
      <c r="L493" s="336"/>
      <c r="M493" s="338"/>
    </row>
    <row r="494" spans="2:13">
      <c r="B494" s="271"/>
      <c r="C494" s="271"/>
      <c r="D494" s="271"/>
      <c r="E494" s="271"/>
      <c r="F494" s="271"/>
      <c r="G494" s="271"/>
      <c r="H494" s="271"/>
      <c r="I494" s="334" t="str">
        <f t="shared" si="14"/>
        <v/>
      </c>
      <c r="J494" s="270" t="str">
        <f t="shared" si="15"/>
        <v/>
      </c>
      <c r="K494" s="335"/>
      <c r="L494" s="336"/>
      <c r="M494" s="338"/>
    </row>
    <row r="495" spans="2:13">
      <c r="B495" s="271"/>
      <c r="C495" s="271"/>
      <c r="D495" s="271"/>
      <c r="E495" s="271"/>
      <c r="F495" s="271"/>
      <c r="G495" s="271"/>
      <c r="H495" s="271"/>
      <c r="I495" s="334" t="str">
        <f t="shared" si="14"/>
        <v/>
      </c>
      <c r="J495" s="270" t="str">
        <f t="shared" si="15"/>
        <v/>
      </c>
      <c r="K495" s="335"/>
      <c r="L495" s="336"/>
      <c r="M495" s="338"/>
    </row>
    <row r="496" spans="2:13">
      <c r="B496" s="271"/>
      <c r="C496" s="271"/>
      <c r="D496" s="271"/>
      <c r="E496" s="271"/>
      <c r="F496" s="271"/>
      <c r="G496" s="271"/>
      <c r="H496" s="271"/>
      <c r="I496" s="334" t="str">
        <f t="shared" si="14"/>
        <v/>
      </c>
      <c r="J496" s="270" t="str">
        <f t="shared" si="15"/>
        <v/>
      </c>
      <c r="K496" s="335"/>
      <c r="L496" s="336"/>
      <c r="M496" s="338"/>
    </row>
    <row r="497" spans="2:13">
      <c r="B497" s="271"/>
      <c r="C497" s="271"/>
      <c r="D497" s="271"/>
      <c r="E497" s="271"/>
      <c r="F497" s="271"/>
      <c r="G497" s="271"/>
      <c r="H497" s="271"/>
      <c r="I497" s="334" t="str">
        <f t="shared" si="14"/>
        <v/>
      </c>
      <c r="J497" s="270" t="str">
        <f t="shared" si="15"/>
        <v/>
      </c>
      <c r="K497" s="335"/>
      <c r="L497" s="336"/>
      <c r="M497" s="338"/>
    </row>
    <row r="498" spans="2:13">
      <c r="B498" s="271"/>
      <c r="C498" s="271"/>
      <c r="D498" s="271"/>
      <c r="E498" s="271"/>
      <c r="F498" s="271"/>
      <c r="G498" s="271"/>
      <c r="H498" s="271"/>
      <c r="I498" s="334" t="str">
        <f t="shared" si="14"/>
        <v/>
      </c>
      <c r="J498" s="270" t="str">
        <f t="shared" si="15"/>
        <v/>
      </c>
      <c r="K498" s="335"/>
      <c r="L498" s="336"/>
      <c r="M498" s="338"/>
    </row>
    <row r="499" spans="2:13">
      <c r="B499" s="271"/>
      <c r="C499" s="271"/>
      <c r="D499" s="271"/>
      <c r="E499" s="271"/>
      <c r="F499" s="271"/>
      <c r="G499" s="271"/>
      <c r="H499" s="271"/>
      <c r="I499" s="334" t="str">
        <f t="shared" si="14"/>
        <v/>
      </c>
      <c r="J499" s="270" t="str">
        <f t="shared" si="15"/>
        <v/>
      </c>
      <c r="K499" s="335"/>
      <c r="L499" s="336"/>
      <c r="M499" s="338"/>
    </row>
    <row r="500" spans="2:13">
      <c r="B500" s="271"/>
      <c r="C500" s="271"/>
      <c r="D500" s="271"/>
      <c r="E500" s="271"/>
      <c r="F500" s="271"/>
      <c r="G500" s="271"/>
      <c r="H500" s="271"/>
      <c r="I500" s="334" t="str">
        <f t="shared" si="14"/>
        <v/>
      </c>
      <c r="J500" s="270" t="str">
        <f t="shared" si="15"/>
        <v/>
      </c>
      <c r="K500" s="335"/>
      <c r="L500" s="336"/>
      <c r="M500" s="338"/>
    </row>
    <row r="501" spans="2:13">
      <c r="B501" s="271"/>
      <c r="C501" s="271"/>
      <c r="D501" s="271"/>
      <c r="E501" s="271"/>
      <c r="F501" s="271"/>
      <c r="G501" s="271"/>
      <c r="H501" s="271"/>
      <c r="I501" s="334" t="str">
        <f t="shared" si="14"/>
        <v/>
      </c>
      <c r="J501" s="270" t="str">
        <f t="shared" si="15"/>
        <v/>
      </c>
      <c r="K501" s="335"/>
      <c r="L501" s="336"/>
      <c r="M501" s="338"/>
    </row>
    <row r="502" spans="2:13">
      <c r="B502" s="271"/>
      <c r="C502" s="271"/>
      <c r="D502" s="271"/>
      <c r="E502" s="271"/>
      <c r="F502" s="271"/>
      <c r="G502" s="271"/>
      <c r="H502" s="271"/>
      <c r="I502" s="334" t="str">
        <f t="shared" si="14"/>
        <v/>
      </c>
      <c r="J502" s="270" t="str">
        <f t="shared" si="15"/>
        <v/>
      </c>
      <c r="K502" s="335"/>
      <c r="L502" s="336"/>
      <c r="M502" s="338"/>
    </row>
    <row r="503" spans="2:13">
      <c r="B503" s="271"/>
      <c r="C503" s="271"/>
      <c r="D503" s="271"/>
      <c r="E503" s="271"/>
      <c r="F503" s="271"/>
      <c r="G503" s="271"/>
      <c r="H503" s="271"/>
      <c r="I503" s="334" t="str">
        <f t="shared" si="14"/>
        <v/>
      </c>
      <c r="J503" s="270" t="str">
        <f t="shared" si="15"/>
        <v/>
      </c>
      <c r="K503" s="335"/>
      <c r="L503" s="336"/>
      <c r="M503" s="338"/>
    </row>
    <row r="504" spans="2:13">
      <c r="B504" s="271"/>
      <c r="C504" s="271"/>
      <c r="D504" s="271"/>
      <c r="E504" s="271"/>
      <c r="F504" s="271"/>
      <c r="G504" s="271"/>
      <c r="H504" s="271"/>
      <c r="I504" s="334" t="str">
        <f t="shared" si="14"/>
        <v/>
      </c>
      <c r="J504" s="270" t="str">
        <f t="shared" si="15"/>
        <v/>
      </c>
      <c r="K504" s="335"/>
      <c r="L504" s="336"/>
      <c r="M504" s="338"/>
    </row>
    <row r="505" spans="2:13">
      <c r="B505" s="271"/>
      <c r="C505" s="271"/>
      <c r="D505" s="271"/>
      <c r="E505" s="271"/>
      <c r="F505" s="271"/>
      <c r="G505" s="271"/>
      <c r="H505" s="271"/>
      <c r="I505" s="334" t="str">
        <f t="shared" si="14"/>
        <v/>
      </c>
      <c r="J505" s="270" t="str">
        <f t="shared" si="15"/>
        <v/>
      </c>
      <c r="K505" s="335"/>
      <c r="L505" s="336"/>
      <c r="M505" s="338"/>
    </row>
    <row r="506" spans="2:13">
      <c r="B506" s="271"/>
      <c r="C506" s="271"/>
      <c r="D506" s="271"/>
      <c r="E506" s="271"/>
      <c r="F506" s="271"/>
      <c r="G506" s="271"/>
      <c r="H506" s="271"/>
      <c r="I506" s="334" t="str">
        <f t="shared" si="14"/>
        <v/>
      </c>
      <c r="J506" s="270" t="str">
        <f t="shared" si="15"/>
        <v/>
      </c>
      <c r="K506" s="335"/>
      <c r="L506" s="336"/>
      <c r="M506" s="338"/>
    </row>
    <row r="507" spans="2:13">
      <c r="B507" s="271"/>
      <c r="C507" s="271"/>
      <c r="D507" s="271"/>
      <c r="E507" s="271"/>
      <c r="F507" s="271"/>
      <c r="G507" s="271"/>
      <c r="H507" s="271"/>
      <c r="I507" s="334" t="str">
        <f t="shared" si="14"/>
        <v/>
      </c>
      <c r="J507" s="270" t="str">
        <f t="shared" si="15"/>
        <v/>
      </c>
      <c r="K507" s="335"/>
      <c r="L507" s="336"/>
      <c r="M507" s="338"/>
    </row>
    <row r="508" spans="2:13">
      <c r="B508" s="271"/>
      <c r="C508" s="271"/>
      <c r="D508" s="271"/>
      <c r="E508" s="271"/>
      <c r="F508" s="271"/>
      <c r="G508" s="271"/>
      <c r="H508" s="271"/>
      <c r="I508" s="334" t="str">
        <f t="shared" si="14"/>
        <v/>
      </c>
      <c r="J508" s="270" t="str">
        <f t="shared" si="15"/>
        <v/>
      </c>
      <c r="K508" s="335"/>
      <c r="L508" s="336"/>
      <c r="M508" s="338"/>
    </row>
    <row r="509" spans="2:13">
      <c r="B509" s="271"/>
      <c r="C509" s="271"/>
      <c r="D509" s="271"/>
      <c r="E509" s="271"/>
      <c r="F509" s="271"/>
      <c r="G509" s="271"/>
      <c r="H509" s="271"/>
      <c r="I509" s="334" t="str">
        <f t="shared" si="14"/>
        <v/>
      </c>
      <c r="J509" s="270" t="str">
        <f t="shared" si="15"/>
        <v/>
      </c>
      <c r="K509" s="335"/>
      <c r="L509" s="336"/>
      <c r="M509" s="338"/>
    </row>
    <row r="510" spans="2:13">
      <c r="B510" s="271"/>
      <c r="C510" s="271"/>
      <c r="D510" s="271"/>
      <c r="E510" s="271"/>
      <c r="F510" s="271"/>
      <c r="G510" s="271"/>
      <c r="H510" s="271"/>
      <c r="I510" s="334" t="str">
        <f t="shared" si="14"/>
        <v/>
      </c>
      <c r="J510" s="270" t="str">
        <f t="shared" si="15"/>
        <v/>
      </c>
      <c r="K510" s="335"/>
      <c r="L510" s="336"/>
      <c r="M510" s="338"/>
    </row>
    <row r="511" spans="2:13">
      <c r="B511" s="271"/>
      <c r="C511" s="271"/>
      <c r="D511" s="271"/>
      <c r="E511" s="271"/>
      <c r="F511" s="271"/>
      <c r="G511" s="271"/>
      <c r="H511" s="271"/>
      <c r="I511" s="334" t="str">
        <f t="shared" si="14"/>
        <v/>
      </c>
      <c r="J511" s="270" t="str">
        <f t="shared" si="15"/>
        <v/>
      </c>
      <c r="K511" s="335"/>
      <c r="L511" s="336"/>
      <c r="M511" s="338"/>
    </row>
    <row r="512" spans="2:13">
      <c r="B512" s="271"/>
      <c r="C512" s="271"/>
      <c r="D512" s="271"/>
      <c r="E512" s="271"/>
      <c r="F512" s="271"/>
      <c r="G512" s="271"/>
      <c r="H512" s="271"/>
      <c r="I512" s="334" t="str">
        <f t="shared" si="14"/>
        <v/>
      </c>
      <c r="J512" s="270" t="str">
        <f t="shared" si="15"/>
        <v/>
      </c>
      <c r="K512" s="335"/>
      <c r="L512" s="336"/>
      <c r="M512" s="338"/>
    </row>
    <row r="513" spans="2:13">
      <c r="B513" s="271"/>
      <c r="C513" s="271"/>
      <c r="D513" s="271"/>
      <c r="E513" s="271"/>
      <c r="F513" s="271"/>
      <c r="G513" s="271"/>
      <c r="H513" s="271"/>
      <c r="I513" s="334" t="str">
        <f t="shared" si="14"/>
        <v/>
      </c>
      <c r="J513" s="270" t="str">
        <f t="shared" si="15"/>
        <v/>
      </c>
      <c r="K513" s="335"/>
      <c r="L513" s="336"/>
      <c r="M513" s="338"/>
    </row>
    <row r="514" spans="2:13">
      <c r="B514" s="271"/>
      <c r="C514" s="271"/>
      <c r="D514" s="271"/>
      <c r="E514" s="271"/>
      <c r="F514" s="271"/>
      <c r="G514" s="271"/>
      <c r="H514" s="271"/>
      <c r="I514" s="334" t="str">
        <f t="shared" si="14"/>
        <v/>
      </c>
      <c r="J514" s="270" t="str">
        <f t="shared" si="15"/>
        <v/>
      </c>
      <c r="K514" s="335"/>
      <c r="L514" s="336"/>
      <c r="M514" s="338"/>
    </row>
    <row r="515" spans="2:13">
      <c r="B515" s="271"/>
      <c r="C515" s="271"/>
      <c r="D515" s="271"/>
      <c r="E515" s="271"/>
      <c r="F515" s="271"/>
      <c r="G515" s="271"/>
      <c r="H515" s="271"/>
      <c r="I515" s="334" t="str">
        <f t="shared" si="14"/>
        <v/>
      </c>
      <c r="J515" s="270" t="str">
        <f t="shared" si="15"/>
        <v/>
      </c>
      <c r="K515" s="335"/>
      <c r="L515" s="336"/>
      <c r="M515" s="338"/>
    </row>
    <row r="516" spans="2:13">
      <c r="B516" s="271"/>
      <c r="C516" s="271"/>
      <c r="D516" s="271"/>
      <c r="E516" s="271"/>
      <c r="F516" s="271"/>
      <c r="G516" s="271"/>
      <c r="H516" s="271"/>
      <c r="I516" s="334" t="str">
        <f t="shared" si="14"/>
        <v/>
      </c>
      <c r="J516" s="270" t="str">
        <f t="shared" si="15"/>
        <v/>
      </c>
      <c r="K516" s="335"/>
      <c r="L516" s="336"/>
      <c r="M516" s="338"/>
    </row>
    <row r="517" spans="2:13">
      <c r="B517" s="271"/>
      <c r="C517" s="271"/>
      <c r="D517" s="271"/>
      <c r="E517" s="271"/>
      <c r="F517" s="271"/>
      <c r="G517" s="271"/>
      <c r="H517" s="271"/>
      <c r="I517" s="334" t="str">
        <f t="shared" si="14"/>
        <v/>
      </c>
      <c r="J517" s="270" t="str">
        <f t="shared" si="15"/>
        <v/>
      </c>
      <c r="K517" s="335"/>
      <c r="L517" s="336"/>
      <c r="M517" s="338"/>
    </row>
    <row r="518" spans="2:13">
      <c r="B518" s="271"/>
      <c r="C518" s="271"/>
      <c r="D518" s="271"/>
      <c r="E518" s="271"/>
      <c r="F518" s="271"/>
      <c r="G518" s="271"/>
      <c r="H518" s="271"/>
      <c r="I518" s="334" t="str">
        <f t="shared" si="14"/>
        <v/>
      </c>
      <c r="J518" s="270" t="str">
        <f t="shared" si="15"/>
        <v/>
      </c>
      <c r="K518" s="335"/>
      <c r="L518" s="336"/>
      <c r="M518" s="338"/>
    </row>
    <row r="519" spans="2:13">
      <c r="B519" s="271"/>
      <c r="C519" s="271"/>
      <c r="D519" s="271"/>
      <c r="E519" s="271"/>
      <c r="F519" s="271"/>
      <c r="G519" s="271"/>
      <c r="H519" s="271"/>
      <c r="I519" s="334" t="str">
        <f t="shared" si="14"/>
        <v/>
      </c>
      <c r="J519" s="270" t="str">
        <f t="shared" si="15"/>
        <v/>
      </c>
      <c r="K519" s="335"/>
      <c r="L519" s="336"/>
      <c r="M519" s="338"/>
    </row>
    <row r="520" spans="2:13">
      <c r="B520" s="271"/>
      <c r="C520" s="271"/>
      <c r="D520" s="271"/>
      <c r="E520" s="271"/>
      <c r="F520" s="271"/>
      <c r="G520" s="271"/>
      <c r="H520" s="271"/>
      <c r="I520" s="334" t="str">
        <f t="shared" si="14"/>
        <v/>
      </c>
      <c r="J520" s="270" t="str">
        <f t="shared" si="15"/>
        <v/>
      </c>
      <c r="K520" s="335"/>
      <c r="L520" s="336"/>
      <c r="M520" s="338"/>
    </row>
    <row r="521" spans="2:13">
      <c r="B521" s="271"/>
      <c r="C521" s="271"/>
      <c r="D521" s="271"/>
      <c r="E521" s="271"/>
      <c r="F521" s="271"/>
      <c r="G521" s="271"/>
      <c r="H521" s="271"/>
      <c r="I521" s="334" t="str">
        <f t="shared" si="14"/>
        <v/>
      </c>
      <c r="J521" s="270" t="str">
        <f t="shared" si="15"/>
        <v/>
      </c>
      <c r="K521" s="335"/>
      <c r="L521" s="336"/>
      <c r="M521" s="338"/>
    </row>
    <row r="522" spans="2:13">
      <c r="B522" s="271"/>
      <c r="C522" s="271"/>
      <c r="D522" s="271"/>
      <c r="E522" s="271"/>
      <c r="F522" s="271"/>
      <c r="G522" s="271"/>
      <c r="H522" s="271"/>
      <c r="I522" s="334" t="str">
        <f t="shared" si="14"/>
        <v/>
      </c>
      <c r="J522" s="270" t="str">
        <f t="shared" si="15"/>
        <v/>
      </c>
      <c r="K522" s="335"/>
      <c r="L522" s="336"/>
      <c r="M522" s="338"/>
    </row>
    <row r="523" spans="2:13">
      <c r="B523" s="271"/>
      <c r="C523" s="271"/>
      <c r="D523" s="271"/>
      <c r="E523" s="271"/>
      <c r="F523" s="271"/>
      <c r="G523" s="271"/>
      <c r="H523" s="271"/>
      <c r="I523" s="334" t="str">
        <f t="shared" si="14"/>
        <v/>
      </c>
      <c r="J523" s="270" t="str">
        <f t="shared" si="15"/>
        <v/>
      </c>
      <c r="K523" s="335"/>
      <c r="L523" s="336"/>
      <c r="M523" s="338"/>
    </row>
    <row r="524" spans="2:13">
      <c r="B524" s="271"/>
      <c r="C524" s="271"/>
      <c r="D524" s="271"/>
      <c r="E524" s="271"/>
      <c r="F524" s="271"/>
      <c r="G524" s="271"/>
      <c r="H524" s="271"/>
      <c r="I524" s="334" t="str">
        <f t="shared" si="14"/>
        <v/>
      </c>
      <c r="J524" s="270" t="str">
        <f t="shared" si="15"/>
        <v/>
      </c>
      <c r="K524" s="335"/>
      <c r="L524" s="336"/>
      <c r="M524" s="338"/>
    </row>
    <row r="525" spans="2:13">
      <c r="B525" s="271"/>
      <c r="C525" s="271"/>
      <c r="D525" s="271"/>
      <c r="E525" s="271"/>
      <c r="F525" s="271"/>
      <c r="G525" s="271"/>
      <c r="H525" s="271"/>
      <c r="I525" s="334" t="str">
        <f t="shared" si="14"/>
        <v/>
      </c>
      <c r="J525" s="270" t="str">
        <f t="shared" si="15"/>
        <v/>
      </c>
      <c r="K525" s="335"/>
      <c r="L525" s="336"/>
      <c r="M525" s="338"/>
    </row>
    <row r="526" spans="2:13">
      <c r="B526" s="271"/>
      <c r="C526" s="271"/>
      <c r="D526" s="271"/>
      <c r="E526" s="271"/>
      <c r="F526" s="271"/>
      <c r="G526" s="271"/>
      <c r="H526" s="271"/>
      <c r="I526" s="334" t="str">
        <f t="shared" ref="I526:I589" si="16">IF(H526="Large","NRS",IF(H526="International","FRS",IF(H526="SME - Medium","SME",IF(H526="SME - Micro","SME",IF(H526="SME - Small","SME","")))))</f>
        <v/>
      </c>
      <c r="J526" s="270" t="str">
        <f t="shared" ref="J526:J589" si="17">IF(B526="","","No")</f>
        <v/>
      </c>
      <c r="K526" s="335"/>
      <c r="L526" s="336"/>
      <c r="M526" s="338"/>
    </row>
    <row r="527" spans="2:13">
      <c r="B527" s="271"/>
      <c r="C527" s="271"/>
      <c r="D527" s="271"/>
      <c r="E527" s="271"/>
      <c r="F527" s="271"/>
      <c r="G527" s="271"/>
      <c r="H527" s="271"/>
      <c r="I527" s="334" t="str">
        <f t="shared" si="16"/>
        <v/>
      </c>
      <c r="J527" s="270" t="str">
        <f t="shared" si="17"/>
        <v/>
      </c>
      <c r="K527" s="335"/>
      <c r="L527" s="336"/>
      <c r="M527" s="338"/>
    </row>
    <row r="528" spans="2:13">
      <c r="B528" s="271"/>
      <c r="C528" s="271"/>
      <c r="D528" s="271"/>
      <c r="E528" s="271"/>
      <c r="F528" s="271"/>
      <c r="G528" s="271"/>
      <c r="H528" s="271"/>
      <c r="I528" s="334" t="str">
        <f t="shared" si="16"/>
        <v/>
      </c>
      <c r="J528" s="270" t="str">
        <f t="shared" si="17"/>
        <v/>
      </c>
      <c r="K528" s="335"/>
      <c r="L528" s="336"/>
      <c r="M528" s="338"/>
    </row>
    <row r="529" spans="2:13">
      <c r="B529" s="271"/>
      <c r="C529" s="271"/>
      <c r="D529" s="271"/>
      <c r="E529" s="271"/>
      <c r="F529" s="271"/>
      <c r="G529" s="271"/>
      <c r="H529" s="271"/>
      <c r="I529" s="334" t="str">
        <f t="shared" si="16"/>
        <v/>
      </c>
      <c r="J529" s="270" t="str">
        <f t="shared" si="17"/>
        <v/>
      </c>
      <c r="K529" s="335"/>
      <c r="L529" s="336"/>
      <c r="M529" s="338"/>
    </row>
    <row r="530" spans="2:13">
      <c r="B530" s="271"/>
      <c r="C530" s="271"/>
      <c r="D530" s="271"/>
      <c r="E530" s="271"/>
      <c r="F530" s="271"/>
      <c r="G530" s="271"/>
      <c r="H530" s="271"/>
      <c r="I530" s="334" t="str">
        <f t="shared" si="16"/>
        <v/>
      </c>
      <c r="J530" s="270" t="str">
        <f t="shared" si="17"/>
        <v/>
      </c>
      <c r="K530" s="335"/>
      <c r="L530" s="336"/>
      <c r="M530" s="338"/>
    </row>
    <row r="531" spans="2:13">
      <c r="B531" s="271"/>
      <c r="C531" s="271"/>
      <c r="D531" s="271"/>
      <c r="E531" s="271"/>
      <c r="F531" s="271"/>
      <c r="G531" s="271"/>
      <c r="H531" s="271"/>
      <c r="I531" s="334" t="str">
        <f t="shared" si="16"/>
        <v/>
      </c>
      <c r="J531" s="270" t="str">
        <f t="shared" si="17"/>
        <v/>
      </c>
      <c r="K531" s="335"/>
      <c r="L531" s="336"/>
      <c r="M531" s="338"/>
    </row>
    <row r="532" spans="2:13">
      <c r="B532" s="271"/>
      <c r="C532" s="271"/>
      <c r="D532" s="271"/>
      <c r="E532" s="271"/>
      <c r="F532" s="271"/>
      <c r="G532" s="271"/>
      <c r="H532" s="271"/>
      <c r="I532" s="334" t="str">
        <f t="shared" si="16"/>
        <v/>
      </c>
      <c r="J532" s="270" t="str">
        <f t="shared" si="17"/>
        <v/>
      </c>
      <c r="K532" s="335"/>
      <c r="L532" s="336"/>
      <c r="M532" s="338"/>
    </row>
    <row r="533" spans="2:13">
      <c r="B533" s="271"/>
      <c r="C533" s="271"/>
      <c r="D533" s="271"/>
      <c r="E533" s="271"/>
      <c r="F533" s="271"/>
      <c r="G533" s="271"/>
      <c r="H533" s="271"/>
      <c r="I533" s="334" t="str">
        <f t="shared" si="16"/>
        <v/>
      </c>
      <c r="J533" s="270" t="str">
        <f t="shared" si="17"/>
        <v/>
      </c>
      <c r="K533" s="335"/>
      <c r="L533" s="336"/>
      <c r="M533" s="338"/>
    </row>
    <row r="534" spans="2:13">
      <c r="B534" s="271"/>
      <c r="C534" s="271"/>
      <c r="D534" s="271"/>
      <c r="E534" s="271"/>
      <c r="F534" s="271"/>
      <c r="G534" s="271"/>
      <c r="H534" s="271"/>
      <c r="I534" s="334" t="str">
        <f t="shared" si="16"/>
        <v/>
      </c>
      <c r="J534" s="270" t="str">
        <f t="shared" si="17"/>
        <v/>
      </c>
      <c r="K534" s="335"/>
      <c r="L534" s="336"/>
      <c r="M534" s="338"/>
    </row>
    <row r="535" spans="2:13">
      <c r="B535" s="271"/>
      <c r="C535" s="271"/>
      <c r="D535" s="271"/>
      <c r="E535" s="271"/>
      <c r="F535" s="271"/>
      <c r="G535" s="271"/>
      <c r="H535" s="271"/>
      <c r="I535" s="334" t="str">
        <f t="shared" si="16"/>
        <v/>
      </c>
      <c r="J535" s="270" t="str">
        <f t="shared" si="17"/>
        <v/>
      </c>
      <c r="K535" s="335"/>
      <c r="L535" s="336"/>
      <c r="M535" s="338"/>
    </row>
    <row r="536" spans="2:13">
      <c r="B536" s="271"/>
      <c r="C536" s="271"/>
      <c r="D536" s="271"/>
      <c r="E536" s="271"/>
      <c r="F536" s="271"/>
      <c r="G536" s="271"/>
      <c r="H536" s="271"/>
      <c r="I536" s="334" t="str">
        <f t="shared" si="16"/>
        <v/>
      </c>
      <c r="J536" s="270" t="str">
        <f t="shared" si="17"/>
        <v/>
      </c>
      <c r="K536" s="335"/>
      <c r="L536" s="336"/>
      <c r="M536" s="338"/>
    </row>
    <row r="537" spans="2:13">
      <c r="B537" s="271"/>
      <c r="C537" s="271"/>
      <c r="D537" s="271"/>
      <c r="E537" s="271"/>
      <c r="F537" s="271"/>
      <c r="G537" s="271"/>
      <c r="H537" s="271"/>
      <c r="I537" s="334" t="str">
        <f t="shared" si="16"/>
        <v/>
      </c>
      <c r="J537" s="270" t="str">
        <f t="shared" si="17"/>
        <v/>
      </c>
      <c r="K537" s="335"/>
      <c r="L537" s="336"/>
      <c r="M537" s="338"/>
    </row>
    <row r="538" spans="2:13">
      <c r="B538" s="271"/>
      <c r="C538" s="271"/>
      <c r="D538" s="271"/>
      <c r="E538" s="271"/>
      <c r="F538" s="271"/>
      <c r="G538" s="271"/>
      <c r="H538" s="271"/>
      <c r="I538" s="334" t="str">
        <f t="shared" si="16"/>
        <v/>
      </c>
      <c r="J538" s="270" t="str">
        <f t="shared" si="17"/>
        <v/>
      </c>
      <c r="K538" s="335"/>
      <c r="L538" s="336"/>
      <c r="M538" s="338"/>
    </row>
    <row r="539" spans="2:13">
      <c r="B539" s="271"/>
      <c r="C539" s="271"/>
      <c r="D539" s="271"/>
      <c r="E539" s="271"/>
      <c r="F539" s="271"/>
      <c r="G539" s="271"/>
      <c r="H539" s="271"/>
      <c r="I539" s="334" t="str">
        <f t="shared" si="16"/>
        <v/>
      </c>
      <c r="J539" s="270" t="str">
        <f t="shared" si="17"/>
        <v/>
      </c>
      <c r="K539" s="335"/>
      <c r="L539" s="336"/>
      <c r="M539" s="338"/>
    </row>
    <row r="540" spans="2:13">
      <c r="B540" s="271"/>
      <c r="C540" s="271"/>
      <c r="D540" s="271"/>
      <c r="E540" s="271"/>
      <c r="F540" s="271"/>
      <c r="G540" s="271"/>
      <c r="H540" s="271"/>
      <c r="I540" s="334" t="str">
        <f t="shared" si="16"/>
        <v/>
      </c>
      <c r="J540" s="270" t="str">
        <f t="shared" si="17"/>
        <v/>
      </c>
      <c r="K540" s="335"/>
      <c r="L540" s="336"/>
      <c r="M540" s="338"/>
    </row>
    <row r="541" spans="2:13">
      <c r="B541" s="271"/>
      <c r="C541" s="271"/>
      <c r="D541" s="271"/>
      <c r="E541" s="271"/>
      <c r="F541" s="271"/>
      <c r="G541" s="271"/>
      <c r="H541" s="271"/>
      <c r="I541" s="334" t="str">
        <f t="shared" si="16"/>
        <v/>
      </c>
      <c r="J541" s="270" t="str">
        <f t="shared" si="17"/>
        <v/>
      </c>
      <c r="K541" s="335"/>
      <c r="L541" s="336"/>
      <c r="M541" s="338"/>
    </row>
    <row r="542" spans="2:13">
      <c r="B542" s="271"/>
      <c r="C542" s="271"/>
      <c r="D542" s="271"/>
      <c r="E542" s="271"/>
      <c r="F542" s="271"/>
      <c r="G542" s="271"/>
      <c r="H542" s="271"/>
      <c r="I542" s="334" t="str">
        <f t="shared" si="16"/>
        <v/>
      </c>
      <c r="J542" s="270" t="str">
        <f t="shared" si="17"/>
        <v/>
      </c>
      <c r="K542" s="335"/>
      <c r="L542" s="336"/>
      <c r="M542" s="338"/>
    </row>
    <row r="543" spans="2:13">
      <c r="B543" s="271"/>
      <c r="C543" s="271"/>
      <c r="D543" s="271"/>
      <c r="E543" s="271"/>
      <c r="F543" s="271"/>
      <c r="G543" s="271"/>
      <c r="H543" s="271"/>
      <c r="I543" s="334" t="str">
        <f t="shared" si="16"/>
        <v/>
      </c>
      <c r="J543" s="270" t="str">
        <f t="shared" si="17"/>
        <v/>
      </c>
      <c r="K543" s="335"/>
      <c r="L543" s="336"/>
      <c r="M543" s="338"/>
    </row>
    <row r="544" spans="2:13">
      <c r="B544" s="271"/>
      <c r="C544" s="271"/>
      <c r="D544" s="271"/>
      <c r="E544" s="271"/>
      <c r="F544" s="271"/>
      <c r="G544" s="271"/>
      <c r="H544" s="271"/>
      <c r="I544" s="334" t="str">
        <f t="shared" si="16"/>
        <v/>
      </c>
      <c r="J544" s="270" t="str">
        <f t="shared" si="17"/>
        <v/>
      </c>
      <c r="K544" s="335"/>
      <c r="L544" s="336"/>
      <c r="M544" s="338"/>
    </row>
    <row r="545" spans="2:13">
      <c r="B545" s="271"/>
      <c r="C545" s="271"/>
      <c r="D545" s="271"/>
      <c r="E545" s="271"/>
      <c r="F545" s="271"/>
      <c r="G545" s="271"/>
      <c r="H545" s="271"/>
      <c r="I545" s="334" t="str">
        <f t="shared" si="16"/>
        <v/>
      </c>
      <c r="J545" s="270" t="str">
        <f t="shared" si="17"/>
        <v/>
      </c>
      <c r="K545" s="335"/>
      <c r="L545" s="336"/>
      <c r="M545" s="338"/>
    </row>
    <row r="546" spans="2:13">
      <c r="B546" s="271"/>
      <c r="C546" s="271"/>
      <c r="D546" s="271"/>
      <c r="E546" s="271"/>
      <c r="F546" s="271"/>
      <c r="G546" s="271"/>
      <c r="H546" s="271"/>
      <c r="I546" s="334" t="str">
        <f t="shared" si="16"/>
        <v/>
      </c>
      <c r="J546" s="270" t="str">
        <f t="shared" si="17"/>
        <v/>
      </c>
      <c r="K546" s="335"/>
      <c r="L546" s="336"/>
      <c r="M546" s="338"/>
    </row>
    <row r="547" spans="2:13">
      <c r="B547" s="271"/>
      <c r="C547" s="271"/>
      <c r="D547" s="271"/>
      <c r="E547" s="271"/>
      <c r="F547" s="271"/>
      <c r="G547" s="271"/>
      <c r="H547" s="271"/>
      <c r="I547" s="334" t="str">
        <f t="shared" si="16"/>
        <v/>
      </c>
      <c r="J547" s="270" t="str">
        <f t="shared" si="17"/>
        <v/>
      </c>
      <c r="K547" s="335"/>
      <c r="L547" s="336"/>
      <c r="M547" s="338"/>
    </row>
    <row r="548" spans="2:13">
      <c r="B548" s="271"/>
      <c r="C548" s="271"/>
      <c r="D548" s="271"/>
      <c r="E548" s="271"/>
      <c r="F548" s="271"/>
      <c r="G548" s="271"/>
      <c r="H548" s="271"/>
      <c r="I548" s="334" t="str">
        <f t="shared" si="16"/>
        <v/>
      </c>
      <c r="J548" s="270" t="str">
        <f t="shared" si="17"/>
        <v/>
      </c>
      <c r="K548" s="335"/>
      <c r="L548" s="336"/>
      <c r="M548" s="338"/>
    </row>
    <row r="549" spans="2:13">
      <c r="B549" s="271"/>
      <c r="C549" s="271"/>
      <c r="D549" s="271"/>
      <c r="E549" s="271"/>
      <c r="F549" s="271"/>
      <c r="G549" s="271"/>
      <c r="H549" s="271"/>
      <c r="I549" s="334" t="str">
        <f t="shared" si="16"/>
        <v/>
      </c>
      <c r="J549" s="270" t="str">
        <f t="shared" si="17"/>
        <v/>
      </c>
      <c r="K549" s="335"/>
      <c r="L549" s="336"/>
      <c r="M549" s="338"/>
    </row>
    <row r="550" spans="2:13">
      <c r="B550" s="271"/>
      <c r="C550" s="271"/>
      <c r="D550" s="271"/>
      <c r="E550" s="271"/>
      <c r="F550" s="271"/>
      <c r="G550" s="271"/>
      <c r="H550" s="271"/>
      <c r="I550" s="334" t="str">
        <f t="shared" si="16"/>
        <v/>
      </c>
      <c r="J550" s="270" t="str">
        <f t="shared" si="17"/>
        <v/>
      </c>
      <c r="K550" s="335"/>
      <c r="L550" s="336"/>
      <c r="M550" s="338"/>
    </row>
    <row r="551" spans="2:13">
      <c r="B551" s="271"/>
      <c r="C551" s="271"/>
      <c r="D551" s="271"/>
      <c r="E551" s="271"/>
      <c r="F551" s="271"/>
      <c r="G551" s="271"/>
      <c r="H551" s="271"/>
      <c r="I551" s="334" t="str">
        <f t="shared" si="16"/>
        <v/>
      </c>
      <c r="J551" s="270" t="str">
        <f t="shared" si="17"/>
        <v/>
      </c>
      <c r="K551" s="335"/>
      <c r="L551" s="336"/>
      <c r="M551" s="338"/>
    </row>
    <row r="552" spans="2:13">
      <c r="B552" s="271"/>
      <c r="C552" s="271"/>
      <c r="D552" s="271"/>
      <c r="E552" s="271"/>
      <c r="F552" s="271"/>
      <c r="G552" s="271"/>
      <c r="H552" s="271"/>
      <c r="I552" s="334" t="str">
        <f t="shared" si="16"/>
        <v/>
      </c>
      <c r="J552" s="270" t="str">
        <f t="shared" si="17"/>
        <v/>
      </c>
      <c r="K552" s="335"/>
      <c r="L552" s="336"/>
      <c r="M552" s="338"/>
    </row>
    <row r="553" spans="2:13">
      <c r="B553" s="271"/>
      <c r="C553" s="271"/>
      <c r="D553" s="271"/>
      <c r="E553" s="271"/>
      <c r="F553" s="271"/>
      <c r="G553" s="271"/>
      <c r="H553" s="271"/>
      <c r="I553" s="334" t="str">
        <f t="shared" si="16"/>
        <v/>
      </c>
      <c r="J553" s="270" t="str">
        <f t="shared" si="17"/>
        <v/>
      </c>
      <c r="K553" s="335"/>
      <c r="L553" s="336"/>
      <c r="M553" s="338"/>
    </row>
    <row r="554" spans="2:13">
      <c r="B554" s="271"/>
      <c r="C554" s="271"/>
      <c r="D554" s="271"/>
      <c r="E554" s="271"/>
      <c r="F554" s="271"/>
      <c r="G554" s="271"/>
      <c r="H554" s="271"/>
      <c r="I554" s="334" t="str">
        <f t="shared" si="16"/>
        <v/>
      </c>
      <c r="J554" s="270" t="str">
        <f t="shared" si="17"/>
        <v/>
      </c>
      <c r="K554" s="335"/>
      <c r="L554" s="336"/>
      <c r="M554" s="338"/>
    </row>
    <row r="555" spans="2:13">
      <c r="B555" s="271"/>
      <c r="C555" s="271"/>
      <c r="D555" s="271"/>
      <c r="E555" s="271"/>
      <c r="F555" s="271"/>
      <c r="G555" s="271"/>
      <c r="H555" s="271"/>
      <c r="I555" s="334" t="str">
        <f t="shared" si="16"/>
        <v/>
      </c>
      <c r="J555" s="270" t="str">
        <f t="shared" si="17"/>
        <v/>
      </c>
      <c r="K555" s="335"/>
      <c r="L555" s="336"/>
      <c r="M555" s="338"/>
    </row>
    <row r="556" spans="2:13">
      <c r="B556" s="271"/>
      <c r="C556" s="271"/>
      <c r="D556" s="271"/>
      <c r="E556" s="271"/>
      <c r="F556" s="271"/>
      <c r="G556" s="271"/>
      <c r="H556" s="271"/>
      <c r="I556" s="334" t="str">
        <f t="shared" si="16"/>
        <v/>
      </c>
      <c r="J556" s="270" t="str">
        <f t="shared" si="17"/>
        <v/>
      </c>
      <c r="K556" s="335"/>
      <c r="L556" s="336"/>
      <c r="M556" s="338"/>
    </row>
    <row r="557" spans="2:13">
      <c r="B557" s="271"/>
      <c r="C557" s="271"/>
      <c r="D557" s="271"/>
      <c r="E557" s="271"/>
      <c r="F557" s="271"/>
      <c r="G557" s="271"/>
      <c r="H557" s="271"/>
      <c r="I557" s="334" t="str">
        <f t="shared" si="16"/>
        <v/>
      </c>
      <c r="J557" s="270" t="str">
        <f t="shared" si="17"/>
        <v/>
      </c>
      <c r="K557" s="335"/>
      <c r="L557" s="336"/>
      <c r="M557" s="338"/>
    </row>
    <row r="558" spans="2:13">
      <c r="B558" s="271"/>
      <c r="C558" s="271"/>
      <c r="D558" s="271"/>
      <c r="E558" s="271"/>
      <c r="F558" s="271"/>
      <c r="G558" s="271"/>
      <c r="H558" s="271"/>
      <c r="I558" s="334" t="str">
        <f t="shared" si="16"/>
        <v/>
      </c>
      <c r="J558" s="270" t="str">
        <f t="shared" si="17"/>
        <v/>
      </c>
      <c r="K558" s="335"/>
      <c r="L558" s="336"/>
      <c r="M558" s="338"/>
    </row>
    <row r="559" spans="2:13">
      <c r="B559" s="271"/>
      <c r="C559" s="271"/>
      <c r="D559" s="271"/>
      <c r="E559" s="271"/>
      <c r="F559" s="271"/>
      <c r="G559" s="271"/>
      <c r="H559" s="271"/>
      <c r="I559" s="334" t="str">
        <f t="shared" si="16"/>
        <v/>
      </c>
      <c r="J559" s="270" t="str">
        <f t="shared" si="17"/>
        <v/>
      </c>
      <c r="K559" s="335"/>
      <c r="L559" s="336"/>
      <c r="M559" s="338"/>
    </row>
    <row r="560" spans="2:13">
      <c r="B560" s="271"/>
      <c r="C560" s="271"/>
      <c r="D560" s="271"/>
      <c r="E560" s="271"/>
      <c r="F560" s="271"/>
      <c r="G560" s="271"/>
      <c r="H560" s="271"/>
      <c r="I560" s="334" t="str">
        <f t="shared" si="16"/>
        <v/>
      </c>
      <c r="J560" s="270" t="str">
        <f t="shared" si="17"/>
        <v/>
      </c>
      <c r="K560" s="335"/>
      <c r="L560" s="336"/>
      <c r="M560" s="338"/>
    </row>
    <row r="561" spans="2:13">
      <c r="B561" s="271"/>
      <c r="C561" s="271"/>
      <c r="D561" s="271"/>
      <c r="E561" s="271"/>
      <c r="F561" s="271"/>
      <c r="G561" s="271"/>
      <c r="H561" s="271"/>
      <c r="I561" s="334" t="str">
        <f t="shared" si="16"/>
        <v/>
      </c>
      <c r="J561" s="270" t="str">
        <f t="shared" si="17"/>
        <v/>
      </c>
      <c r="K561" s="335"/>
      <c r="L561" s="336"/>
      <c r="M561" s="338"/>
    </row>
    <row r="562" spans="2:13">
      <c r="B562" s="271"/>
      <c r="C562" s="271"/>
      <c r="D562" s="271"/>
      <c r="E562" s="271"/>
      <c r="F562" s="271"/>
      <c r="G562" s="271"/>
      <c r="H562" s="271"/>
      <c r="I562" s="334" t="str">
        <f t="shared" si="16"/>
        <v/>
      </c>
      <c r="J562" s="270" t="str">
        <f t="shared" si="17"/>
        <v/>
      </c>
      <c r="K562" s="335"/>
      <c r="L562" s="336"/>
      <c r="M562" s="338"/>
    </row>
    <row r="563" spans="2:13">
      <c r="B563" s="271"/>
      <c r="C563" s="271"/>
      <c r="D563" s="271"/>
      <c r="E563" s="271"/>
      <c r="F563" s="271"/>
      <c r="G563" s="271"/>
      <c r="H563" s="271"/>
      <c r="I563" s="334" t="str">
        <f t="shared" si="16"/>
        <v/>
      </c>
      <c r="J563" s="270" t="str">
        <f t="shared" si="17"/>
        <v/>
      </c>
      <c r="K563" s="335"/>
      <c r="L563" s="336"/>
      <c r="M563" s="338"/>
    </row>
    <row r="564" spans="2:13">
      <c r="B564" s="271"/>
      <c r="C564" s="271"/>
      <c r="D564" s="271"/>
      <c r="E564" s="271"/>
      <c r="F564" s="271"/>
      <c r="G564" s="271"/>
      <c r="H564" s="271"/>
      <c r="I564" s="334" t="str">
        <f t="shared" si="16"/>
        <v/>
      </c>
      <c r="J564" s="270" t="str">
        <f t="shared" si="17"/>
        <v/>
      </c>
      <c r="K564" s="335"/>
      <c r="L564" s="336"/>
      <c r="M564" s="338"/>
    </row>
    <row r="565" spans="2:13">
      <c r="B565" s="271"/>
      <c r="C565" s="271"/>
      <c r="D565" s="271"/>
      <c r="E565" s="271"/>
      <c r="F565" s="271"/>
      <c r="G565" s="271"/>
      <c r="H565" s="271"/>
      <c r="I565" s="334" t="str">
        <f t="shared" si="16"/>
        <v/>
      </c>
      <c r="J565" s="270" t="str">
        <f t="shared" si="17"/>
        <v/>
      </c>
      <c r="K565" s="335"/>
      <c r="L565" s="336"/>
      <c r="M565" s="338"/>
    </row>
    <row r="566" spans="2:13">
      <c r="B566" s="271"/>
      <c r="C566" s="271"/>
      <c r="D566" s="271"/>
      <c r="E566" s="271"/>
      <c r="F566" s="271"/>
      <c r="G566" s="271"/>
      <c r="H566" s="271"/>
      <c r="I566" s="334" t="str">
        <f t="shared" si="16"/>
        <v/>
      </c>
      <c r="J566" s="270" t="str">
        <f t="shared" si="17"/>
        <v/>
      </c>
      <c r="K566" s="335"/>
      <c r="L566" s="336"/>
      <c r="M566" s="338"/>
    </row>
    <row r="567" spans="2:13">
      <c r="B567" s="271"/>
      <c r="C567" s="271"/>
      <c r="D567" s="271"/>
      <c r="E567" s="271"/>
      <c r="F567" s="271"/>
      <c r="G567" s="271"/>
      <c r="H567" s="271"/>
      <c r="I567" s="334" t="str">
        <f t="shared" si="16"/>
        <v/>
      </c>
      <c r="J567" s="270" t="str">
        <f t="shared" si="17"/>
        <v/>
      </c>
      <c r="K567" s="335"/>
      <c r="L567" s="336"/>
      <c r="M567" s="338"/>
    </row>
    <row r="568" spans="2:13">
      <c r="B568" s="271"/>
      <c r="C568" s="271"/>
      <c r="D568" s="271"/>
      <c r="E568" s="271"/>
      <c r="F568" s="271"/>
      <c r="G568" s="271"/>
      <c r="H568" s="271"/>
      <c r="I568" s="334" t="str">
        <f t="shared" si="16"/>
        <v/>
      </c>
      <c r="J568" s="270" t="str">
        <f t="shared" si="17"/>
        <v/>
      </c>
      <c r="K568" s="335"/>
      <c r="L568" s="336"/>
      <c r="M568" s="338"/>
    </row>
    <row r="569" spans="2:13">
      <c r="B569" s="271"/>
      <c r="C569" s="271"/>
      <c r="D569" s="271"/>
      <c r="E569" s="271"/>
      <c r="F569" s="271"/>
      <c r="G569" s="271"/>
      <c r="H569" s="271"/>
      <c r="I569" s="334" t="str">
        <f t="shared" si="16"/>
        <v/>
      </c>
      <c r="J569" s="270" t="str">
        <f t="shared" si="17"/>
        <v/>
      </c>
      <c r="K569" s="335"/>
      <c r="L569" s="336"/>
      <c r="M569" s="338"/>
    </row>
    <row r="570" spans="2:13">
      <c r="B570" s="271"/>
      <c r="C570" s="271"/>
      <c r="D570" s="271"/>
      <c r="E570" s="271"/>
      <c r="F570" s="271"/>
      <c r="G570" s="271"/>
      <c r="H570" s="271"/>
      <c r="I570" s="334" t="str">
        <f t="shared" si="16"/>
        <v/>
      </c>
      <c r="J570" s="270" t="str">
        <f t="shared" si="17"/>
        <v/>
      </c>
      <c r="K570" s="335"/>
      <c r="L570" s="336"/>
      <c r="M570" s="338"/>
    </row>
    <row r="571" spans="2:13">
      <c r="B571" s="271"/>
      <c r="C571" s="271"/>
      <c r="D571" s="271"/>
      <c r="E571" s="271"/>
      <c r="F571" s="271"/>
      <c r="G571" s="271"/>
      <c r="H571" s="271"/>
      <c r="I571" s="334" t="str">
        <f t="shared" si="16"/>
        <v/>
      </c>
      <c r="J571" s="270" t="str">
        <f t="shared" si="17"/>
        <v/>
      </c>
      <c r="K571" s="335"/>
      <c r="L571" s="336"/>
      <c r="M571" s="338"/>
    </row>
    <row r="572" spans="2:13">
      <c r="B572" s="271"/>
      <c r="C572" s="271"/>
      <c r="D572" s="271"/>
      <c r="E572" s="271"/>
      <c r="F572" s="271"/>
      <c r="G572" s="271"/>
      <c r="H572" s="271"/>
      <c r="I572" s="334" t="str">
        <f t="shared" si="16"/>
        <v/>
      </c>
      <c r="J572" s="270" t="str">
        <f t="shared" si="17"/>
        <v/>
      </c>
      <c r="K572" s="335"/>
      <c r="L572" s="336"/>
      <c r="M572" s="338"/>
    </row>
    <row r="573" spans="2:13">
      <c r="B573" s="271"/>
      <c r="C573" s="271"/>
      <c r="D573" s="271"/>
      <c r="E573" s="271"/>
      <c r="F573" s="271"/>
      <c r="G573" s="271"/>
      <c r="H573" s="271"/>
      <c r="I573" s="334" t="str">
        <f t="shared" si="16"/>
        <v/>
      </c>
      <c r="J573" s="270" t="str">
        <f t="shared" si="17"/>
        <v/>
      </c>
      <c r="K573" s="335"/>
      <c r="L573" s="336"/>
      <c r="M573" s="338"/>
    </row>
    <row r="574" spans="2:13">
      <c r="B574" s="271"/>
      <c r="C574" s="271"/>
      <c r="D574" s="271"/>
      <c r="E574" s="271"/>
      <c r="F574" s="271"/>
      <c r="G574" s="271"/>
      <c r="H574" s="271"/>
      <c r="I574" s="334" t="str">
        <f t="shared" si="16"/>
        <v/>
      </c>
      <c r="J574" s="270" t="str">
        <f t="shared" si="17"/>
        <v/>
      </c>
      <c r="K574" s="335"/>
      <c r="L574" s="336"/>
      <c r="M574" s="338"/>
    </row>
    <row r="575" spans="2:13">
      <c r="B575" s="271"/>
      <c r="C575" s="271"/>
      <c r="D575" s="271"/>
      <c r="E575" s="271"/>
      <c r="F575" s="271"/>
      <c r="G575" s="271"/>
      <c r="H575" s="271"/>
      <c r="I575" s="334" t="str">
        <f t="shared" si="16"/>
        <v/>
      </c>
      <c r="J575" s="270" t="str">
        <f t="shared" si="17"/>
        <v/>
      </c>
      <c r="K575" s="335"/>
      <c r="L575" s="336"/>
      <c r="M575" s="338"/>
    </row>
    <row r="576" spans="2:13">
      <c r="B576" s="271"/>
      <c r="C576" s="271"/>
      <c r="D576" s="271"/>
      <c r="E576" s="271"/>
      <c r="F576" s="271"/>
      <c r="G576" s="271"/>
      <c r="H576" s="271"/>
      <c r="I576" s="334" t="str">
        <f t="shared" si="16"/>
        <v/>
      </c>
      <c r="J576" s="270" t="str">
        <f t="shared" si="17"/>
        <v/>
      </c>
      <c r="K576" s="335"/>
      <c r="L576" s="336"/>
      <c r="M576" s="338"/>
    </row>
    <row r="577" spans="2:13">
      <c r="B577" s="271"/>
      <c r="C577" s="271"/>
      <c r="D577" s="271"/>
      <c r="E577" s="271"/>
      <c r="F577" s="271"/>
      <c r="G577" s="271"/>
      <c r="H577" s="271"/>
      <c r="I577" s="334" t="str">
        <f t="shared" si="16"/>
        <v/>
      </c>
      <c r="J577" s="270" t="str">
        <f t="shared" si="17"/>
        <v/>
      </c>
      <c r="K577" s="335"/>
      <c r="L577" s="336"/>
      <c r="M577" s="338"/>
    </row>
    <row r="578" spans="2:13">
      <c r="B578" s="271"/>
      <c r="C578" s="271"/>
      <c r="D578" s="271"/>
      <c r="E578" s="271"/>
      <c r="F578" s="271"/>
      <c r="G578" s="271"/>
      <c r="H578" s="271"/>
      <c r="I578" s="334" t="str">
        <f t="shared" si="16"/>
        <v/>
      </c>
      <c r="J578" s="270" t="str">
        <f t="shared" si="17"/>
        <v/>
      </c>
      <c r="K578" s="335"/>
      <c r="L578" s="336"/>
      <c r="M578" s="338"/>
    </row>
    <row r="579" spans="2:13">
      <c r="B579" s="271"/>
      <c r="C579" s="271"/>
      <c r="D579" s="271"/>
      <c r="E579" s="271"/>
      <c r="F579" s="271"/>
      <c r="G579" s="271"/>
      <c r="H579" s="271"/>
      <c r="I579" s="334" t="str">
        <f t="shared" si="16"/>
        <v/>
      </c>
      <c r="J579" s="270" t="str">
        <f t="shared" si="17"/>
        <v/>
      </c>
      <c r="K579" s="335"/>
      <c r="L579" s="336"/>
      <c r="M579" s="338"/>
    </row>
    <row r="580" spans="2:13">
      <c r="B580" s="271"/>
      <c r="C580" s="271"/>
      <c r="D580" s="271"/>
      <c r="E580" s="271"/>
      <c r="F580" s="271"/>
      <c r="G580" s="271"/>
      <c r="H580" s="271"/>
      <c r="I580" s="334" t="str">
        <f t="shared" si="16"/>
        <v/>
      </c>
      <c r="J580" s="270" t="str">
        <f t="shared" si="17"/>
        <v/>
      </c>
      <c r="K580" s="335"/>
      <c r="L580" s="336"/>
      <c r="M580" s="338"/>
    </row>
    <row r="581" spans="2:13">
      <c r="B581" s="271"/>
      <c r="C581" s="271"/>
      <c r="D581" s="271"/>
      <c r="E581" s="271"/>
      <c r="F581" s="271"/>
      <c r="G581" s="271"/>
      <c r="H581" s="271"/>
      <c r="I581" s="334" t="str">
        <f t="shared" si="16"/>
        <v/>
      </c>
      <c r="J581" s="270" t="str">
        <f t="shared" si="17"/>
        <v/>
      </c>
      <c r="K581" s="335"/>
      <c r="L581" s="336"/>
      <c r="M581" s="338"/>
    </row>
    <row r="582" spans="2:13">
      <c r="B582" s="271"/>
      <c r="C582" s="271"/>
      <c r="D582" s="271"/>
      <c r="E582" s="271"/>
      <c r="F582" s="271"/>
      <c r="G582" s="271"/>
      <c r="H582" s="271"/>
      <c r="I582" s="334" t="str">
        <f t="shared" si="16"/>
        <v/>
      </c>
      <c r="J582" s="270" t="str">
        <f t="shared" si="17"/>
        <v/>
      </c>
      <c r="K582" s="335"/>
      <c r="L582" s="336"/>
      <c r="M582" s="338"/>
    </row>
    <row r="583" spans="2:13">
      <c r="B583" s="271"/>
      <c r="C583" s="271"/>
      <c r="D583" s="271"/>
      <c r="E583" s="271"/>
      <c r="F583" s="271"/>
      <c r="G583" s="271"/>
      <c r="H583" s="271"/>
      <c r="I583" s="334" t="str">
        <f t="shared" si="16"/>
        <v/>
      </c>
      <c r="J583" s="270" t="str">
        <f t="shared" si="17"/>
        <v/>
      </c>
      <c r="K583" s="335"/>
      <c r="L583" s="336"/>
      <c r="M583" s="338"/>
    </row>
    <row r="584" spans="2:13">
      <c r="B584" s="271"/>
      <c r="C584" s="271"/>
      <c r="D584" s="271"/>
      <c r="E584" s="271"/>
      <c r="F584" s="271"/>
      <c r="G584" s="271"/>
      <c r="H584" s="271"/>
      <c r="I584" s="334" t="str">
        <f t="shared" si="16"/>
        <v/>
      </c>
      <c r="J584" s="270" t="str">
        <f t="shared" si="17"/>
        <v/>
      </c>
      <c r="K584" s="335"/>
      <c r="L584" s="336"/>
      <c r="M584" s="338"/>
    </row>
    <row r="585" spans="2:13">
      <c r="B585" s="271"/>
      <c r="C585" s="271"/>
      <c r="D585" s="271"/>
      <c r="E585" s="271"/>
      <c r="F585" s="271"/>
      <c r="G585" s="271"/>
      <c r="H585" s="271"/>
      <c r="I585" s="334" t="str">
        <f t="shared" si="16"/>
        <v/>
      </c>
      <c r="J585" s="270" t="str">
        <f t="shared" si="17"/>
        <v/>
      </c>
      <c r="K585" s="335"/>
      <c r="L585" s="336"/>
      <c r="M585" s="338"/>
    </row>
    <row r="586" spans="2:13">
      <c r="B586" s="271"/>
      <c r="C586" s="271"/>
      <c r="D586" s="271"/>
      <c r="E586" s="271"/>
      <c r="F586" s="271"/>
      <c r="G586" s="271"/>
      <c r="H586" s="271"/>
      <c r="I586" s="334" t="str">
        <f t="shared" si="16"/>
        <v/>
      </c>
      <c r="J586" s="270" t="str">
        <f t="shared" si="17"/>
        <v/>
      </c>
      <c r="K586" s="335"/>
      <c r="L586" s="336"/>
      <c r="M586" s="338"/>
    </row>
    <row r="587" spans="2:13">
      <c r="B587" s="271"/>
      <c r="C587" s="271"/>
      <c r="D587" s="271"/>
      <c r="E587" s="271"/>
      <c r="F587" s="271"/>
      <c r="G587" s="271"/>
      <c r="H587" s="271"/>
      <c r="I587" s="334" t="str">
        <f t="shared" si="16"/>
        <v/>
      </c>
      <c r="J587" s="270" t="str">
        <f t="shared" si="17"/>
        <v/>
      </c>
      <c r="K587" s="335"/>
      <c r="L587" s="336"/>
      <c r="M587" s="338"/>
    </row>
    <row r="588" spans="2:13">
      <c r="B588" s="271"/>
      <c r="C588" s="271"/>
      <c r="D588" s="271"/>
      <c r="E588" s="271"/>
      <c r="F588" s="271"/>
      <c r="G588" s="271"/>
      <c r="H588" s="271"/>
      <c r="I588" s="334" t="str">
        <f t="shared" si="16"/>
        <v/>
      </c>
      <c r="J588" s="270" t="str">
        <f t="shared" si="17"/>
        <v/>
      </c>
      <c r="K588" s="335"/>
      <c r="L588" s="336"/>
      <c r="M588" s="338"/>
    </row>
    <row r="589" spans="2:13">
      <c r="B589" s="271"/>
      <c r="C589" s="271"/>
      <c r="D589" s="271"/>
      <c r="E589" s="271"/>
      <c r="F589" s="271"/>
      <c r="G589" s="271"/>
      <c r="H589" s="271"/>
      <c r="I589" s="334" t="str">
        <f t="shared" si="16"/>
        <v/>
      </c>
      <c r="J589" s="270" t="str">
        <f t="shared" si="17"/>
        <v/>
      </c>
      <c r="K589" s="335"/>
      <c r="L589" s="336"/>
      <c r="M589" s="338"/>
    </row>
    <row r="590" spans="2:13">
      <c r="B590" s="271"/>
      <c r="C590" s="271"/>
      <c r="D590" s="271"/>
      <c r="E590" s="271"/>
      <c r="F590" s="271"/>
      <c r="G590" s="271"/>
      <c r="H590" s="271"/>
      <c r="I590" s="334" t="str">
        <f t="shared" ref="I590:I653" si="18">IF(H590="Large","NRS",IF(H590="International","FRS",IF(H590="SME - Medium","SME",IF(H590="SME - Micro","SME",IF(H590="SME - Small","SME","")))))</f>
        <v/>
      </c>
      <c r="J590" s="270" t="str">
        <f t="shared" ref="J590:J653" si="19">IF(B590="","","No")</f>
        <v/>
      </c>
      <c r="K590" s="335"/>
      <c r="L590" s="336"/>
      <c r="M590" s="338"/>
    </row>
    <row r="591" spans="2:13">
      <c r="B591" s="271"/>
      <c r="C591" s="271"/>
      <c r="D591" s="271"/>
      <c r="E591" s="271"/>
      <c r="F591" s="271"/>
      <c r="G591" s="271"/>
      <c r="H591" s="271"/>
      <c r="I591" s="334" t="str">
        <f t="shared" si="18"/>
        <v/>
      </c>
      <c r="J591" s="270" t="str">
        <f t="shared" si="19"/>
        <v/>
      </c>
      <c r="K591" s="335"/>
      <c r="L591" s="336"/>
      <c r="M591" s="338"/>
    </row>
    <row r="592" spans="2:13">
      <c r="B592" s="271"/>
      <c r="C592" s="271"/>
      <c r="D592" s="271"/>
      <c r="E592" s="271"/>
      <c r="F592" s="271"/>
      <c r="G592" s="271"/>
      <c r="H592" s="271"/>
      <c r="I592" s="334" t="str">
        <f t="shared" si="18"/>
        <v/>
      </c>
      <c r="J592" s="270" t="str">
        <f t="shared" si="19"/>
        <v/>
      </c>
      <c r="K592" s="335"/>
      <c r="L592" s="336"/>
      <c r="M592" s="338"/>
    </row>
    <row r="593" spans="2:13">
      <c r="B593" s="271"/>
      <c r="C593" s="271"/>
      <c r="D593" s="271"/>
      <c r="E593" s="271"/>
      <c r="F593" s="271"/>
      <c r="G593" s="271"/>
      <c r="H593" s="271"/>
      <c r="I593" s="334" t="str">
        <f t="shared" si="18"/>
        <v/>
      </c>
      <c r="J593" s="270" t="str">
        <f t="shared" si="19"/>
        <v/>
      </c>
      <c r="K593" s="335"/>
      <c r="L593" s="336"/>
      <c r="M593" s="338"/>
    </row>
    <row r="594" spans="2:13">
      <c r="B594" s="271"/>
      <c r="C594" s="271"/>
      <c r="D594" s="271"/>
      <c r="E594" s="271"/>
      <c r="F594" s="271"/>
      <c r="G594" s="271"/>
      <c r="H594" s="271"/>
      <c r="I594" s="334" t="str">
        <f t="shared" si="18"/>
        <v/>
      </c>
      <c r="J594" s="270" t="str">
        <f t="shared" si="19"/>
        <v/>
      </c>
      <c r="K594" s="335"/>
      <c r="L594" s="336"/>
      <c r="M594" s="338"/>
    </row>
    <row r="595" spans="2:13">
      <c r="B595" s="271"/>
      <c r="C595" s="271"/>
      <c r="D595" s="271"/>
      <c r="E595" s="271"/>
      <c r="F595" s="271"/>
      <c r="G595" s="271"/>
      <c r="H595" s="271"/>
      <c r="I595" s="334" t="str">
        <f t="shared" si="18"/>
        <v/>
      </c>
      <c r="J595" s="270" t="str">
        <f t="shared" si="19"/>
        <v/>
      </c>
      <c r="K595" s="335"/>
      <c r="L595" s="336"/>
      <c r="M595" s="338"/>
    </row>
    <row r="596" spans="2:13">
      <c r="B596" s="271"/>
      <c r="C596" s="271"/>
      <c r="D596" s="271"/>
      <c r="E596" s="271"/>
      <c r="F596" s="271"/>
      <c r="G596" s="271"/>
      <c r="H596" s="271"/>
      <c r="I596" s="334" t="str">
        <f t="shared" si="18"/>
        <v/>
      </c>
      <c r="J596" s="270" t="str">
        <f t="shared" si="19"/>
        <v/>
      </c>
      <c r="K596" s="335"/>
      <c r="L596" s="336"/>
      <c r="M596" s="338"/>
    </row>
    <row r="597" spans="2:13">
      <c r="B597" s="271"/>
      <c r="C597" s="271"/>
      <c r="D597" s="271"/>
      <c r="E597" s="271"/>
      <c r="F597" s="271"/>
      <c r="G597" s="271"/>
      <c r="H597" s="271"/>
      <c r="I597" s="334" t="str">
        <f t="shared" si="18"/>
        <v/>
      </c>
      <c r="J597" s="270" t="str">
        <f t="shared" si="19"/>
        <v/>
      </c>
      <c r="K597" s="335"/>
      <c r="L597" s="336"/>
      <c r="M597" s="338"/>
    </row>
    <row r="598" spans="2:13">
      <c r="B598" s="271"/>
      <c r="C598" s="271"/>
      <c r="D598" s="271"/>
      <c r="E598" s="271"/>
      <c r="F598" s="271"/>
      <c r="G598" s="271"/>
      <c r="H598" s="271"/>
      <c r="I598" s="334" t="str">
        <f t="shared" si="18"/>
        <v/>
      </c>
      <c r="J598" s="270" t="str">
        <f t="shared" si="19"/>
        <v/>
      </c>
      <c r="K598" s="335"/>
      <c r="L598" s="336"/>
      <c r="M598" s="338"/>
    </row>
    <row r="599" spans="2:13">
      <c r="B599" s="271"/>
      <c r="C599" s="271"/>
      <c r="D599" s="271"/>
      <c r="E599" s="271"/>
      <c r="F599" s="271"/>
      <c r="G599" s="271"/>
      <c r="H599" s="271"/>
      <c r="I599" s="334" t="str">
        <f t="shared" si="18"/>
        <v/>
      </c>
      <c r="J599" s="270" t="str">
        <f t="shared" si="19"/>
        <v/>
      </c>
      <c r="K599" s="335"/>
      <c r="L599" s="336"/>
      <c r="M599" s="338"/>
    </row>
    <row r="600" spans="2:13">
      <c r="B600" s="271"/>
      <c r="C600" s="271"/>
      <c r="D600" s="271"/>
      <c r="E600" s="271"/>
      <c r="F600" s="271"/>
      <c r="G600" s="271"/>
      <c r="H600" s="271"/>
      <c r="I600" s="334" t="str">
        <f t="shared" si="18"/>
        <v/>
      </c>
      <c r="J600" s="270" t="str">
        <f t="shared" si="19"/>
        <v/>
      </c>
      <c r="K600" s="335"/>
      <c r="L600" s="336"/>
      <c r="M600" s="338"/>
    </row>
    <row r="601" spans="2:13">
      <c r="B601" s="271"/>
      <c r="C601" s="271"/>
      <c r="D601" s="271"/>
      <c r="E601" s="271"/>
      <c r="F601" s="271"/>
      <c r="G601" s="271"/>
      <c r="H601" s="271"/>
      <c r="I601" s="334" t="str">
        <f t="shared" si="18"/>
        <v/>
      </c>
      <c r="J601" s="270" t="str">
        <f t="shared" si="19"/>
        <v/>
      </c>
      <c r="K601" s="335"/>
      <c r="L601" s="336"/>
      <c r="M601" s="338"/>
    </row>
    <row r="602" spans="2:13">
      <c r="B602" s="271"/>
      <c r="C602" s="271"/>
      <c r="D602" s="271"/>
      <c r="E602" s="271"/>
      <c r="F602" s="271"/>
      <c r="G602" s="271"/>
      <c r="H602" s="271"/>
      <c r="I602" s="334" t="str">
        <f t="shared" si="18"/>
        <v/>
      </c>
      <c r="J602" s="270" t="str">
        <f t="shared" si="19"/>
        <v/>
      </c>
      <c r="K602" s="335"/>
      <c r="L602" s="336"/>
      <c r="M602" s="338"/>
    </row>
    <row r="603" spans="2:13">
      <c r="B603" s="271"/>
      <c r="C603" s="271"/>
      <c r="D603" s="271"/>
      <c r="E603" s="271"/>
      <c r="F603" s="271"/>
      <c r="G603" s="271"/>
      <c r="H603" s="271"/>
      <c r="I603" s="334" t="str">
        <f t="shared" si="18"/>
        <v/>
      </c>
      <c r="J603" s="270" t="str">
        <f t="shared" si="19"/>
        <v/>
      </c>
      <c r="K603" s="335"/>
      <c r="L603" s="336"/>
      <c r="M603" s="338"/>
    </row>
    <row r="604" spans="2:13">
      <c r="B604" s="271"/>
      <c r="C604" s="271"/>
      <c r="D604" s="271"/>
      <c r="E604" s="271"/>
      <c r="F604" s="271"/>
      <c r="G604" s="271"/>
      <c r="H604" s="271"/>
      <c r="I604" s="334" t="str">
        <f t="shared" si="18"/>
        <v/>
      </c>
      <c r="J604" s="270" t="str">
        <f t="shared" si="19"/>
        <v/>
      </c>
      <c r="K604" s="335"/>
      <c r="L604" s="336"/>
      <c r="M604" s="338"/>
    </row>
    <row r="605" spans="2:13">
      <c r="B605" s="271"/>
      <c r="C605" s="271"/>
      <c r="D605" s="271"/>
      <c r="E605" s="271"/>
      <c r="F605" s="271"/>
      <c r="G605" s="271"/>
      <c r="H605" s="271"/>
      <c r="I605" s="334" t="str">
        <f t="shared" si="18"/>
        <v/>
      </c>
      <c r="J605" s="270" t="str">
        <f t="shared" si="19"/>
        <v/>
      </c>
      <c r="K605" s="335"/>
      <c r="L605" s="336"/>
      <c r="M605" s="338"/>
    </row>
    <row r="606" spans="2:13">
      <c r="B606" s="271"/>
      <c r="C606" s="271"/>
      <c r="D606" s="271"/>
      <c r="E606" s="271"/>
      <c r="F606" s="271"/>
      <c r="G606" s="271"/>
      <c r="H606" s="271"/>
      <c r="I606" s="334" t="str">
        <f t="shared" si="18"/>
        <v/>
      </c>
      <c r="J606" s="270" t="str">
        <f t="shared" si="19"/>
        <v/>
      </c>
      <c r="K606" s="335"/>
      <c r="L606" s="336"/>
      <c r="M606" s="338"/>
    </row>
    <row r="607" spans="2:13">
      <c r="B607" s="271"/>
      <c r="C607" s="271"/>
      <c r="D607" s="271"/>
      <c r="E607" s="271"/>
      <c r="F607" s="271"/>
      <c r="G607" s="271"/>
      <c r="H607" s="271"/>
      <c r="I607" s="334" t="str">
        <f t="shared" si="18"/>
        <v/>
      </c>
      <c r="J607" s="270" t="str">
        <f t="shared" si="19"/>
        <v/>
      </c>
      <c r="K607" s="335"/>
      <c r="L607" s="336"/>
      <c r="M607" s="338"/>
    </row>
    <row r="608" spans="2:13">
      <c r="B608" s="271"/>
      <c r="C608" s="271"/>
      <c r="D608" s="271"/>
      <c r="E608" s="271"/>
      <c r="F608" s="271"/>
      <c r="G608" s="271"/>
      <c r="H608" s="271"/>
      <c r="I608" s="334" t="str">
        <f t="shared" si="18"/>
        <v/>
      </c>
      <c r="J608" s="270" t="str">
        <f t="shared" si="19"/>
        <v/>
      </c>
      <c r="K608" s="335"/>
      <c r="L608" s="336"/>
      <c r="M608" s="338"/>
    </row>
    <row r="609" spans="2:13">
      <c r="B609" s="271"/>
      <c r="C609" s="271"/>
      <c r="D609" s="271"/>
      <c r="E609" s="271"/>
      <c r="F609" s="271"/>
      <c r="G609" s="271"/>
      <c r="H609" s="271"/>
      <c r="I609" s="334" t="str">
        <f t="shared" si="18"/>
        <v/>
      </c>
      <c r="J609" s="270" t="str">
        <f t="shared" si="19"/>
        <v/>
      </c>
      <c r="K609" s="335"/>
      <c r="L609" s="336"/>
      <c r="M609" s="338"/>
    </row>
    <row r="610" spans="2:13">
      <c r="B610" s="271"/>
      <c r="C610" s="271"/>
      <c r="D610" s="271"/>
      <c r="E610" s="271"/>
      <c r="F610" s="271"/>
      <c r="G610" s="271"/>
      <c r="H610" s="271"/>
      <c r="I610" s="334" t="str">
        <f t="shared" si="18"/>
        <v/>
      </c>
      <c r="J610" s="270" t="str">
        <f t="shared" si="19"/>
        <v/>
      </c>
      <c r="K610" s="335"/>
      <c r="L610" s="336"/>
      <c r="M610" s="338"/>
    </row>
    <row r="611" spans="2:13">
      <c r="B611" s="271"/>
      <c r="C611" s="271"/>
      <c r="D611" s="271"/>
      <c r="E611" s="271"/>
      <c r="F611" s="271"/>
      <c r="G611" s="271"/>
      <c r="H611" s="271"/>
      <c r="I611" s="334" t="str">
        <f t="shared" si="18"/>
        <v/>
      </c>
      <c r="J611" s="270" t="str">
        <f t="shared" si="19"/>
        <v/>
      </c>
      <c r="K611" s="335"/>
      <c r="L611" s="336"/>
      <c r="M611" s="338"/>
    </row>
    <row r="612" spans="2:13">
      <c r="B612" s="271"/>
      <c r="C612" s="271"/>
      <c r="D612" s="271"/>
      <c r="E612" s="271"/>
      <c r="F612" s="271"/>
      <c r="G612" s="271"/>
      <c r="H612" s="271"/>
      <c r="I612" s="334" t="str">
        <f t="shared" si="18"/>
        <v/>
      </c>
      <c r="J612" s="270" t="str">
        <f t="shared" si="19"/>
        <v/>
      </c>
      <c r="K612" s="335"/>
      <c r="L612" s="336"/>
      <c r="M612" s="338"/>
    </row>
    <row r="613" spans="2:13">
      <c r="B613" s="271"/>
      <c r="C613" s="271"/>
      <c r="D613" s="271"/>
      <c r="E613" s="271"/>
      <c r="F613" s="271"/>
      <c r="G613" s="271"/>
      <c r="H613" s="271"/>
      <c r="I613" s="334" t="str">
        <f t="shared" si="18"/>
        <v/>
      </c>
      <c r="J613" s="270" t="str">
        <f t="shared" si="19"/>
        <v/>
      </c>
      <c r="K613" s="335"/>
      <c r="L613" s="336"/>
      <c r="M613" s="338"/>
    </row>
    <row r="614" spans="2:13">
      <c r="B614" s="271"/>
      <c r="C614" s="271"/>
      <c r="D614" s="271"/>
      <c r="E614" s="271"/>
      <c r="F614" s="271"/>
      <c r="G614" s="271"/>
      <c r="H614" s="271"/>
      <c r="I614" s="334" t="str">
        <f t="shared" si="18"/>
        <v/>
      </c>
      <c r="J614" s="270" t="str">
        <f t="shared" si="19"/>
        <v/>
      </c>
      <c r="K614" s="335"/>
      <c r="L614" s="336"/>
      <c r="M614" s="338"/>
    </row>
    <row r="615" spans="2:13">
      <c r="B615" s="271"/>
      <c r="C615" s="271"/>
      <c r="D615" s="271"/>
      <c r="E615" s="271"/>
      <c r="F615" s="271"/>
      <c r="G615" s="271"/>
      <c r="H615" s="271"/>
      <c r="I615" s="334" t="str">
        <f t="shared" si="18"/>
        <v/>
      </c>
      <c r="J615" s="270" t="str">
        <f t="shared" si="19"/>
        <v/>
      </c>
      <c r="K615" s="335"/>
      <c r="L615" s="336"/>
      <c r="M615" s="338"/>
    </row>
    <row r="616" spans="2:13">
      <c r="B616" s="271"/>
      <c r="C616" s="271"/>
      <c r="D616" s="271"/>
      <c r="E616" s="271"/>
      <c r="F616" s="271"/>
      <c r="G616" s="271"/>
      <c r="H616" s="271"/>
      <c r="I616" s="334" t="str">
        <f t="shared" si="18"/>
        <v/>
      </c>
      <c r="J616" s="270" t="str">
        <f t="shared" si="19"/>
        <v/>
      </c>
      <c r="K616" s="335"/>
      <c r="L616" s="336"/>
      <c r="M616" s="338"/>
    </row>
    <row r="617" spans="2:13">
      <c r="B617" s="271"/>
      <c r="C617" s="271"/>
      <c r="D617" s="271"/>
      <c r="E617" s="271"/>
      <c r="F617" s="271"/>
      <c r="G617" s="271"/>
      <c r="H617" s="271"/>
      <c r="I617" s="334" t="str">
        <f t="shared" si="18"/>
        <v/>
      </c>
      <c r="J617" s="270" t="str">
        <f t="shared" si="19"/>
        <v/>
      </c>
      <c r="K617" s="335"/>
      <c r="L617" s="336"/>
      <c r="M617" s="338"/>
    </row>
    <row r="618" spans="2:13">
      <c r="B618" s="271"/>
      <c r="C618" s="271"/>
      <c r="D618" s="271"/>
      <c r="E618" s="271"/>
      <c r="F618" s="271"/>
      <c r="G618" s="271"/>
      <c r="H618" s="271"/>
      <c r="I618" s="334" t="str">
        <f t="shared" si="18"/>
        <v/>
      </c>
      <c r="J618" s="270" t="str">
        <f t="shared" si="19"/>
        <v/>
      </c>
      <c r="K618" s="335"/>
      <c r="L618" s="336"/>
      <c r="M618" s="338"/>
    </row>
    <row r="619" spans="2:13">
      <c r="B619" s="271"/>
      <c r="C619" s="271"/>
      <c r="D619" s="271"/>
      <c r="E619" s="271"/>
      <c r="F619" s="271"/>
      <c r="G619" s="271"/>
      <c r="H619" s="271"/>
      <c r="I619" s="334" t="str">
        <f t="shared" si="18"/>
        <v/>
      </c>
      <c r="J619" s="270" t="str">
        <f t="shared" si="19"/>
        <v/>
      </c>
      <c r="K619" s="335"/>
      <c r="L619" s="336"/>
      <c r="M619" s="338"/>
    </row>
    <row r="620" spans="2:13">
      <c r="B620" s="271"/>
      <c r="C620" s="271"/>
      <c r="D620" s="271"/>
      <c r="E620" s="271"/>
      <c r="F620" s="271"/>
      <c r="G620" s="271"/>
      <c r="H620" s="271"/>
      <c r="I620" s="334" t="str">
        <f t="shared" si="18"/>
        <v/>
      </c>
      <c r="J620" s="270" t="str">
        <f t="shared" si="19"/>
        <v/>
      </c>
      <c r="K620" s="335"/>
      <c r="L620" s="336"/>
      <c r="M620" s="338"/>
    </row>
    <row r="621" spans="2:13">
      <c r="B621" s="271"/>
      <c r="C621" s="271"/>
      <c r="D621" s="271"/>
      <c r="E621" s="271"/>
      <c r="F621" s="271"/>
      <c r="G621" s="271"/>
      <c r="H621" s="271"/>
      <c r="I621" s="334" t="str">
        <f t="shared" si="18"/>
        <v/>
      </c>
      <c r="J621" s="270" t="str">
        <f t="shared" si="19"/>
        <v/>
      </c>
      <c r="K621" s="335"/>
      <c r="L621" s="336"/>
      <c r="M621" s="338"/>
    </row>
    <row r="622" spans="2:13">
      <c r="B622" s="271"/>
      <c r="C622" s="271"/>
      <c r="D622" s="271"/>
      <c r="E622" s="271"/>
      <c r="F622" s="271"/>
      <c r="G622" s="271"/>
      <c r="H622" s="271"/>
      <c r="I622" s="334" t="str">
        <f t="shared" si="18"/>
        <v/>
      </c>
      <c r="J622" s="270" t="str">
        <f t="shared" si="19"/>
        <v/>
      </c>
      <c r="K622" s="335"/>
      <c r="L622" s="336"/>
      <c r="M622" s="338"/>
    </row>
    <row r="623" spans="2:13">
      <c r="B623" s="271"/>
      <c r="C623" s="271"/>
      <c r="D623" s="271"/>
      <c r="E623" s="271"/>
      <c r="F623" s="271"/>
      <c r="G623" s="271"/>
      <c r="H623" s="271"/>
      <c r="I623" s="334" t="str">
        <f t="shared" si="18"/>
        <v/>
      </c>
      <c r="J623" s="270" t="str">
        <f t="shared" si="19"/>
        <v/>
      </c>
      <c r="K623" s="335"/>
      <c r="L623" s="336"/>
      <c r="M623" s="338"/>
    </row>
    <row r="624" spans="2:13">
      <c r="B624" s="271"/>
      <c r="C624" s="271"/>
      <c r="D624" s="271"/>
      <c r="E624" s="271"/>
      <c r="F624" s="271"/>
      <c r="G624" s="271"/>
      <c r="H624" s="271"/>
      <c r="I624" s="334" t="str">
        <f t="shared" si="18"/>
        <v/>
      </c>
      <c r="J624" s="270" t="str">
        <f t="shared" si="19"/>
        <v/>
      </c>
      <c r="K624" s="335"/>
      <c r="L624" s="336"/>
      <c r="M624" s="338"/>
    </row>
    <row r="625" spans="2:13">
      <c r="B625" s="271"/>
      <c r="C625" s="271"/>
      <c r="D625" s="271"/>
      <c r="E625" s="271"/>
      <c r="F625" s="271"/>
      <c r="G625" s="271"/>
      <c r="H625" s="271"/>
      <c r="I625" s="334" t="str">
        <f t="shared" si="18"/>
        <v/>
      </c>
      <c r="J625" s="270" t="str">
        <f t="shared" si="19"/>
        <v/>
      </c>
      <c r="K625" s="335"/>
      <c r="L625" s="336"/>
      <c r="M625" s="338"/>
    </row>
    <row r="626" spans="2:13">
      <c r="B626" s="271"/>
      <c r="C626" s="271"/>
      <c r="D626" s="271"/>
      <c r="E626" s="271"/>
      <c r="F626" s="271"/>
      <c r="G626" s="271"/>
      <c r="H626" s="271"/>
      <c r="I626" s="334" t="str">
        <f t="shared" si="18"/>
        <v/>
      </c>
      <c r="J626" s="270" t="str">
        <f t="shared" si="19"/>
        <v/>
      </c>
      <c r="K626" s="335"/>
      <c r="L626" s="336"/>
      <c r="M626" s="338"/>
    </row>
    <row r="627" spans="2:13">
      <c r="B627" s="271"/>
      <c r="C627" s="271"/>
      <c r="D627" s="271"/>
      <c r="E627" s="271"/>
      <c r="F627" s="271"/>
      <c r="G627" s="271"/>
      <c r="H627" s="271"/>
      <c r="I627" s="334" t="str">
        <f t="shared" si="18"/>
        <v/>
      </c>
      <c r="J627" s="270" t="str">
        <f t="shared" si="19"/>
        <v/>
      </c>
      <c r="K627" s="335"/>
      <c r="L627" s="336"/>
      <c r="M627" s="338"/>
    </row>
    <row r="628" spans="2:13">
      <c r="B628" s="271"/>
      <c r="C628" s="271"/>
      <c r="D628" s="271"/>
      <c r="E628" s="271"/>
      <c r="F628" s="271"/>
      <c r="G628" s="271"/>
      <c r="H628" s="271"/>
      <c r="I628" s="334" t="str">
        <f t="shared" si="18"/>
        <v/>
      </c>
      <c r="J628" s="270" t="str">
        <f t="shared" si="19"/>
        <v/>
      </c>
      <c r="K628" s="335"/>
      <c r="L628" s="336"/>
      <c r="M628" s="338"/>
    </row>
    <row r="629" spans="2:13">
      <c r="B629" s="271"/>
      <c r="C629" s="271"/>
      <c r="D629" s="271"/>
      <c r="E629" s="271"/>
      <c r="F629" s="271"/>
      <c r="G629" s="271"/>
      <c r="H629" s="271"/>
      <c r="I629" s="334" t="str">
        <f t="shared" si="18"/>
        <v/>
      </c>
      <c r="J629" s="270" t="str">
        <f t="shared" si="19"/>
        <v/>
      </c>
      <c r="K629" s="335"/>
      <c r="L629" s="336"/>
      <c r="M629" s="338"/>
    </row>
    <row r="630" spans="2:13">
      <c r="B630" s="271"/>
      <c r="C630" s="271"/>
      <c r="D630" s="271"/>
      <c r="E630" s="271"/>
      <c r="F630" s="271"/>
      <c r="G630" s="271"/>
      <c r="H630" s="271"/>
      <c r="I630" s="334" t="str">
        <f t="shared" si="18"/>
        <v/>
      </c>
      <c r="J630" s="270" t="str">
        <f t="shared" si="19"/>
        <v/>
      </c>
      <c r="K630" s="335"/>
      <c r="L630" s="336"/>
      <c r="M630" s="338"/>
    </row>
    <row r="631" spans="2:13">
      <c r="B631" s="271"/>
      <c r="C631" s="271"/>
      <c r="D631" s="271"/>
      <c r="E631" s="271"/>
      <c r="F631" s="271"/>
      <c r="G631" s="271"/>
      <c r="H631" s="271"/>
      <c r="I631" s="334" t="str">
        <f t="shared" si="18"/>
        <v/>
      </c>
      <c r="J631" s="270" t="str">
        <f t="shared" si="19"/>
        <v/>
      </c>
      <c r="K631" s="335"/>
      <c r="L631" s="336"/>
      <c r="M631" s="338"/>
    </row>
    <row r="632" spans="2:13">
      <c r="B632" s="271"/>
      <c r="C632" s="271"/>
      <c r="D632" s="271"/>
      <c r="E632" s="271"/>
      <c r="F632" s="271"/>
      <c r="G632" s="271"/>
      <c r="H632" s="271"/>
      <c r="I632" s="334" t="str">
        <f t="shared" si="18"/>
        <v/>
      </c>
      <c r="J632" s="270" t="str">
        <f t="shared" si="19"/>
        <v/>
      </c>
      <c r="K632" s="335"/>
      <c r="L632" s="336"/>
      <c r="M632" s="338"/>
    </row>
    <row r="633" spans="2:13">
      <c r="B633" s="271"/>
      <c r="C633" s="271"/>
      <c r="D633" s="271"/>
      <c r="E633" s="271"/>
      <c r="F633" s="271"/>
      <c r="G633" s="271"/>
      <c r="H633" s="271"/>
      <c r="I633" s="334" t="str">
        <f t="shared" si="18"/>
        <v/>
      </c>
      <c r="J633" s="270" t="str">
        <f t="shared" si="19"/>
        <v/>
      </c>
      <c r="K633" s="335"/>
      <c r="L633" s="336"/>
      <c r="M633" s="338"/>
    </row>
    <row r="634" spans="2:13">
      <c r="B634" s="271"/>
      <c r="C634" s="271"/>
      <c r="D634" s="271"/>
      <c r="E634" s="271"/>
      <c r="F634" s="271"/>
      <c r="G634" s="271"/>
      <c r="H634" s="271"/>
      <c r="I634" s="334" t="str">
        <f t="shared" si="18"/>
        <v/>
      </c>
      <c r="J634" s="270" t="str">
        <f t="shared" si="19"/>
        <v/>
      </c>
      <c r="K634" s="335"/>
      <c r="L634" s="336"/>
      <c r="M634" s="338"/>
    </row>
    <row r="635" spans="2:13">
      <c r="B635" s="271"/>
      <c r="C635" s="271"/>
      <c r="D635" s="271"/>
      <c r="E635" s="271"/>
      <c r="F635" s="271"/>
      <c r="G635" s="271"/>
      <c r="H635" s="271"/>
      <c r="I635" s="334" t="str">
        <f t="shared" si="18"/>
        <v/>
      </c>
      <c r="J635" s="270" t="str">
        <f t="shared" si="19"/>
        <v/>
      </c>
      <c r="K635" s="335"/>
      <c r="L635" s="336"/>
      <c r="M635" s="338"/>
    </row>
    <row r="636" spans="2:13">
      <c r="B636" s="271"/>
      <c r="C636" s="271"/>
      <c r="D636" s="271"/>
      <c r="E636" s="271"/>
      <c r="F636" s="271"/>
      <c r="G636" s="271"/>
      <c r="H636" s="271"/>
      <c r="I636" s="334" t="str">
        <f t="shared" si="18"/>
        <v/>
      </c>
      <c r="J636" s="270" t="str">
        <f t="shared" si="19"/>
        <v/>
      </c>
      <c r="K636" s="335"/>
      <c r="L636" s="336"/>
      <c r="M636" s="338"/>
    </row>
    <row r="637" spans="2:13">
      <c r="B637" s="271"/>
      <c r="C637" s="271"/>
      <c r="D637" s="271"/>
      <c r="E637" s="271"/>
      <c r="F637" s="271"/>
      <c r="G637" s="271"/>
      <c r="H637" s="271"/>
      <c r="I637" s="334" t="str">
        <f t="shared" si="18"/>
        <v/>
      </c>
      <c r="J637" s="270" t="str">
        <f t="shared" si="19"/>
        <v/>
      </c>
      <c r="K637" s="335"/>
      <c r="L637" s="336"/>
      <c r="M637" s="338"/>
    </row>
    <row r="638" spans="2:13">
      <c r="B638" s="271"/>
      <c r="C638" s="271"/>
      <c r="D638" s="271"/>
      <c r="E638" s="271"/>
      <c r="F638" s="271"/>
      <c r="G638" s="271"/>
      <c r="H638" s="271"/>
      <c r="I638" s="334" t="str">
        <f t="shared" si="18"/>
        <v/>
      </c>
      <c r="J638" s="270" t="str">
        <f t="shared" si="19"/>
        <v/>
      </c>
      <c r="K638" s="335"/>
      <c r="L638" s="336"/>
      <c r="M638" s="338"/>
    </row>
    <row r="639" spans="2:13">
      <c r="B639" s="271"/>
      <c r="C639" s="271"/>
      <c r="D639" s="271"/>
      <c r="E639" s="271"/>
      <c r="F639" s="271"/>
      <c r="G639" s="271"/>
      <c r="H639" s="271"/>
      <c r="I639" s="334" t="str">
        <f t="shared" si="18"/>
        <v/>
      </c>
      <c r="J639" s="270" t="str">
        <f t="shared" si="19"/>
        <v/>
      </c>
      <c r="K639" s="335"/>
      <c r="L639" s="336"/>
      <c r="M639" s="338"/>
    </row>
    <row r="640" spans="2:13">
      <c r="B640" s="271"/>
      <c r="C640" s="271"/>
      <c r="D640" s="271"/>
      <c r="E640" s="271"/>
      <c r="F640" s="271"/>
      <c r="G640" s="271"/>
      <c r="H640" s="271"/>
      <c r="I640" s="334" t="str">
        <f t="shared" si="18"/>
        <v/>
      </c>
      <c r="J640" s="270" t="str">
        <f t="shared" si="19"/>
        <v/>
      </c>
      <c r="K640" s="335"/>
      <c r="L640" s="336"/>
      <c r="M640" s="338"/>
    </row>
    <row r="641" spans="2:13">
      <c r="B641" s="271"/>
      <c r="C641" s="271"/>
      <c r="D641" s="271"/>
      <c r="E641" s="271"/>
      <c r="F641" s="271"/>
      <c r="G641" s="271"/>
      <c r="H641" s="271"/>
      <c r="I641" s="334" t="str">
        <f t="shared" si="18"/>
        <v/>
      </c>
      <c r="J641" s="270" t="str">
        <f t="shared" si="19"/>
        <v/>
      </c>
      <c r="K641" s="335"/>
      <c r="L641" s="336"/>
      <c r="M641" s="338"/>
    </row>
    <row r="642" spans="2:13">
      <c r="B642" s="271"/>
      <c r="C642" s="271"/>
      <c r="D642" s="271"/>
      <c r="E642" s="271"/>
      <c r="F642" s="271"/>
      <c r="G642" s="271"/>
      <c r="H642" s="271"/>
      <c r="I642" s="334" t="str">
        <f t="shared" si="18"/>
        <v/>
      </c>
      <c r="J642" s="270" t="str">
        <f t="shared" si="19"/>
        <v/>
      </c>
      <c r="K642" s="335"/>
      <c r="L642" s="336"/>
      <c r="M642" s="338"/>
    </row>
    <row r="643" spans="2:13">
      <c r="B643" s="271"/>
      <c r="C643" s="271"/>
      <c r="D643" s="271"/>
      <c r="E643" s="271"/>
      <c r="F643" s="271"/>
      <c r="G643" s="271"/>
      <c r="H643" s="271"/>
      <c r="I643" s="334" t="str">
        <f t="shared" si="18"/>
        <v/>
      </c>
      <c r="J643" s="270" t="str">
        <f t="shared" si="19"/>
        <v/>
      </c>
      <c r="K643" s="335"/>
      <c r="L643" s="336"/>
      <c r="M643" s="338"/>
    </row>
    <row r="644" spans="2:13">
      <c r="B644" s="271"/>
      <c r="C644" s="271"/>
      <c r="D644" s="271"/>
      <c r="E644" s="271"/>
      <c r="F644" s="271"/>
      <c r="G644" s="271"/>
      <c r="H644" s="271"/>
      <c r="I644" s="334" t="str">
        <f t="shared" si="18"/>
        <v/>
      </c>
      <c r="J644" s="270" t="str">
        <f t="shared" si="19"/>
        <v/>
      </c>
      <c r="K644" s="335"/>
      <c r="L644" s="336"/>
      <c r="M644" s="338"/>
    </row>
    <row r="645" spans="2:13">
      <c r="B645" s="271"/>
      <c r="C645" s="271"/>
      <c r="D645" s="271"/>
      <c r="E645" s="271"/>
      <c r="F645" s="271"/>
      <c r="G645" s="271"/>
      <c r="H645" s="271"/>
      <c r="I645" s="334" t="str">
        <f t="shared" si="18"/>
        <v/>
      </c>
      <c r="J645" s="270" t="str">
        <f t="shared" si="19"/>
        <v/>
      </c>
      <c r="K645" s="335"/>
      <c r="L645" s="336"/>
      <c r="M645" s="338"/>
    </row>
    <row r="646" spans="2:13">
      <c r="B646" s="271"/>
      <c r="C646" s="271"/>
      <c r="D646" s="271"/>
      <c r="E646" s="271"/>
      <c r="F646" s="271"/>
      <c r="G646" s="271"/>
      <c r="H646" s="271"/>
      <c r="I646" s="334" t="str">
        <f t="shared" si="18"/>
        <v/>
      </c>
      <c r="J646" s="270" t="str">
        <f t="shared" si="19"/>
        <v/>
      </c>
      <c r="K646" s="335"/>
      <c r="L646" s="336"/>
      <c r="M646" s="338"/>
    </row>
    <row r="647" spans="2:13">
      <c r="B647" s="271"/>
      <c r="C647" s="271"/>
      <c r="D647" s="271"/>
      <c r="E647" s="271"/>
      <c r="F647" s="271"/>
      <c r="G647" s="271"/>
      <c r="H647" s="271"/>
      <c r="I647" s="334" t="str">
        <f t="shared" si="18"/>
        <v/>
      </c>
      <c r="J647" s="270" t="str">
        <f t="shared" si="19"/>
        <v/>
      </c>
      <c r="K647" s="335"/>
      <c r="L647" s="336"/>
      <c r="M647" s="338"/>
    </row>
    <row r="648" spans="2:13">
      <c r="B648" s="271"/>
      <c r="C648" s="271"/>
      <c r="D648" s="271"/>
      <c r="E648" s="271"/>
      <c r="F648" s="271"/>
      <c r="G648" s="271"/>
      <c r="H648" s="271"/>
      <c r="I648" s="334" t="str">
        <f t="shared" si="18"/>
        <v/>
      </c>
      <c r="J648" s="270" t="str">
        <f t="shared" si="19"/>
        <v/>
      </c>
      <c r="K648" s="335"/>
      <c r="L648" s="336"/>
      <c r="M648" s="338"/>
    </row>
    <row r="649" spans="2:13">
      <c r="B649" s="271"/>
      <c r="C649" s="271"/>
      <c r="D649" s="271"/>
      <c r="E649" s="271"/>
      <c r="F649" s="271"/>
      <c r="G649" s="271"/>
      <c r="H649" s="271"/>
      <c r="I649" s="334" t="str">
        <f t="shared" si="18"/>
        <v/>
      </c>
      <c r="J649" s="270" t="str">
        <f t="shared" si="19"/>
        <v/>
      </c>
      <c r="K649" s="335"/>
      <c r="L649" s="336"/>
      <c r="M649" s="338"/>
    </row>
    <row r="650" spans="2:13">
      <c r="B650" s="271"/>
      <c r="C650" s="271"/>
      <c r="D650" s="271"/>
      <c r="E650" s="271"/>
      <c r="F650" s="271"/>
      <c r="G650" s="271"/>
      <c r="H650" s="271"/>
      <c r="I650" s="334" t="str">
        <f t="shared" si="18"/>
        <v/>
      </c>
      <c r="J650" s="270" t="str">
        <f t="shared" si="19"/>
        <v/>
      </c>
      <c r="K650" s="335"/>
      <c r="L650" s="336"/>
      <c r="M650" s="338"/>
    </row>
    <row r="651" spans="2:13">
      <c r="B651" s="271"/>
      <c r="C651" s="271"/>
      <c r="D651" s="271"/>
      <c r="E651" s="271"/>
      <c r="F651" s="271"/>
      <c r="G651" s="271"/>
      <c r="H651" s="271"/>
      <c r="I651" s="334" t="str">
        <f t="shared" si="18"/>
        <v/>
      </c>
      <c r="J651" s="270" t="str">
        <f t="shared" si="19"/>
        <v/>
      </c>
      <c r="K651" s="335"/>
      <c r="L651" s="336"/>
      <c r="M651" s="338"/>
    </row>
    <row r="652" spans="2:13">
      <c r="B652" s="271"/>
      <c r="C652" s="271"/>
      <c r="D652" s="271"/>
      <c r="E652" s="271"/>
      <c r="F652" s="271"/>
      <c r="G652" s="271"/>
      <c r="H652" s="271"/>
      <c r="I652" s="334" t="str">
        <f t="shared" si="18"/>
        <v/>
      </c>
      <c r="J652" s="270" t="str">
        <f t="shared" si="19"/>
        <v/>
      </c>
      <c r="K652" s="335"/>
      <c r="L652" s="336"/>
      <c r="M652" s="338"/>
    </row>
    <row r="653" spans="2:13">
      <c r="B653" s="271"/>
      <c r="C653" s="271"/>
      <c r="D653" s="271"/>
      <c r="E653" s="271"/>
      <c r="F653" s="271"/>
      <c r="G653" s="271"/>
      <c r="H653" s="271"/>
      <c r="I653" s="334" t="str">
        <f t="shared" si="18"/>
        <v/>
      </c>
      <c r="J653" s="270" t="str">
        <f t="shared" si="19"/>
        <v/>
      </c>
      <c r="K653" s="335"/>
      <c r="L653" s="336"/>
      <c r="M653" s="338"/>
    </row>
    <row r="654" spans="2:13">
      <c r="B654" s="271"/>
      <c r="C654" s="271"/>
      <c r="D654" s="271"/>
      <c r="E654" s="271"/>
      <c r="F654" s="271"/>
      <c r="G654" s="271"/>
      <c r="H654" s="271"/>
      <c r="I654" s="334" t="str">
        <f t="shared" ref="I654:I717" si="20">IF(H654="Large","NRS",IF(H654="International","FRS",IF(H654="SME - Medium","SME",IF(H654="SME - Micro","SME",IF(H654="SME - Small","SME","")))))</f>
        <v/>
      </c>
      <c r="J654" s="270" t="str">
        <f t="shared" ref="J654:J717" si="21">IF(B654="","","No")</f>
        <v/>
      </c>
      <c r="K654" s="335"/>
      <c r="L654" s="336"/>
      <c r="M654" s="338"/>
    </row>
    <row r="655" spans="2:13">
      <c r="B655" s="271"/>
      <c r="C655" s="271"/>
      <c r="D655" s="271"/>
      <c r="E655" s="271"/>
      <c r="F655" s="271"/>
      <c r="G655" s="271"/>
      <c r="H655" s="271"/>
      <c r="I655" s="334" t="str">
        <f t="shared" si="20"/>
        <v/>
      </c>
      <c r="J655" s="270" t="str">
        <f t="shared" si="21"/>
        <v/>
      </c>
      <c r="K655" s="335"/>
      <c r="L655" s="336"/>
      <c r="M655" s="338"/>
    </row>
    <row r="656" spans="2:13">
      <c r="B656" s="271"/>
      <c r="C656" s="271"/>
      <c r="D656" s="271"/>
      <c r="E656" s="271"/>
      <c r="F656" s="271"/>
      <c r="G656" s="271"/>
      <c r="H656" s="271"/>
      <c r="I656" s="334" t="str">
        <f t="shared" si="20"/>
        <v/>
      </c>
      <c r="J656" s="270" t="str">
        <f t="shared" si="21"/>
        <v/>
      </c>
      <c r="K656" s="335"/>
      <c r="L656" s="336"/>
      <c r="M656" s="338"/>
    </row>
    <row r="657" spans="2:13">
      <c r="B657" s="271"/>
      <c r="C657" s="271"/>
      <c r="D657" s="271"/>
      <c r="E657" s="271"/>
      <c r="F657" s="271"/>
      <c r="G657" s="271"/>
      <c r="H657" s="271"/>
      <c r="I657" s="334" t="str">
        <f t="shared" si="20"/>
        <v/>
      </c>
      <c r="J657" s="270" t="str">
        <f t="shared" si="21"/>
        <v/>
      </c>
      <c r="K657" s="335"/>
      <c r="L657" s="336"/>
      <c r="M657" s="338"/>
    </row>
    <row r="658" spans="2:13">
      <c r="B658" s="271"/>
      <c r="C658" s="271"/>
      <c r="D658" s="271"/>
      <c r="E658" s="271"/>
      <c r="F658" s="271"/>
      <c r="G658" s="271"/>
      <c r="H658" s="271"/>
      <c r="I658" s="334" t="str">
        <f t="shared" si="20"/>
        <v/>
      </c>
      <c r="J658" s="270" t="str">
        <f t="shared" si="21"/>
        <v/>
      </c>
      <c r="K658" s="335"/>
      <c r="L658" s="336"/>
      <c r="M658" s="338"/>
    </row>
    <row r="659" spans="2:13">
      <c r="B659" s="271"/>
      <c r="C659" s="271"/>
      <c r="D659" s="271"/>
      <c r="E659" s="271"/>
      <c r="F659" s="271"/>
      <c r="G659" s="271"/>
      <c r="H659" s="271"/>
      <c r="I659" s="334" t="str">
        <f t="shared" si="20"/>
        <v/>
      </c>
      <c r="J659" s="270" t="str">
        <f t="shared" si="21"/>
        <v/>
      </c>
      <c r="K659" s="335"/>
      <c r="L659" s="336"/>
      <c r="M659" s="338"/>
    </row>
    <row r="660" spans="2:13">
      <c r="B660" s="271"/>
      <c r="C660" s="271"/>
      <c r="D660" s="271"/>
      <c r="E660" s="271"/>
      <c r="F660" s="271"/>
      <c r="G660" s="271"/>
      <c r="H660" s="271"/>
      <c r="I660" s="334" t="str">
        <f t="shared" si="20"/>
        <v/>
      </c>
      <c r="J660" s="270" t="str">
        <f t="shared" si="21"/>
        <v/>
      </c>
      <c r="K660" s="335"/>
      <c r="L660" s="336"/>
      <c r="M660" s="338"/>
    </row>
    <row r="661" spans="2:13">
      <c r="B661" s="271"/>
      <c r="C661" s="271"/>
      <c r="D661" s="271"/>
      <c r="E661" s="271"/>
      <c r="F661" s="271"/>
      <c r="G661" s="271"/>
      <c r="H661" s="271"/>
      <c r="I661" s="334" t="str">
        <f t="shared" si="20"/>
        <v/>
      </c>
      <c r="J661" s="270" t="str">
        <f t="shared" si="21"/>
        <v/>
      </c>
      <c r="K661" s="335"/>
      <c r="L661" s="336"/>
      <c r="M661" s="338"/>
    </row>
    <row r="662" spans="2:13">
      <c r="B662" s="271"/>
      <c r="C662" s="271"/>
      <c r="D662" s="271"/>
      <c r="E662" s="271"/>
      <c r="F662" s="271"/>
      <c r="G662" s="271"/>
      <c r="H662" s="271"/>
      <c r="I662" s="334" t="str">
        <f t="shared" si="20"/>
        <v/>
      </c>
      <c r="J662" s="270" t="str">
        <f t="shared" si="21"/>
        <v/>
      </c>
      <c r="K662" s="335"/>
      <c r="L662" s="336"/>
      <c r="M662" s="338"/>
    </row>
    <row r="663" spans="2:13">
      <c r="B663" s="271"/>
      <c r="C663" s="271"/>
      <c r="D663" s="271"/>
      <c r="E663" s="271"/>
      <c r="F663" s="271"/>
      <c r="G663" s="271"/>
      <c r="H663" s="271"/>
      <c r="I663" s="334" t="str">
        <f t="shared" si="20"/>
        <v/>
      </c>
      <c r="J663" s="270" t="str">
        <f t="shared" si="21"/>
        <v/>
      </c>
      <c r="K663" s="335"/>
      <c r="L663" s="336"/>
      <c r="M663" s="338"/>
    </row>
    <row r="664" spans="2:13">
      <c r="B664" s="271"/>
      <c r="C664" s="271"/>
      <c r="D664" s="271"/>
      <c r="E664" s="271"/>
      <c r="F664" s="271"/>
      <c r="G664" s="271"/>
      <c r="H664" s="271"/>
      <c r="I664" s="334" t="str">
        <f t="shared" si="20"/>
        <v/>
      </c>
      <c r="J664" s="270" t="str">
        <f t="shared" si="21"/>
        <v/>
      </c>
      <c r="K664" s="335"/>
      <c r="L664" s="336"/>
      <c r="M664" s="338"/>
    </row>
    <row r="665" spans="2:13">
      <c r="B665" s="271"/>
      <c r="C665" s="271"/>
      <c r="D665" s="271"/>
      <c r="E665" s="271"/>
      <c r="F665" s="271"/>
      <c r="G665" s="271"/>
      <c r="H665" s="271"/>
      <c r="I665" s="334" t="str">
        <f t="shared" si="20"/>
        <v/>
      </c>
      <c r="J665" s="270" t="str">
        <f t="shared" si="21"/>
        <v/>
      </c>
      <c r="K665" s="335"/>
      <c r="L665" s="336"/>
      <c r="M665" s="338"/>
    </row>
    <row r="666" spans="2:13">
      <c r="B666" s="271"/>
      <c r="C666" s="271"/>
      <c r="D666" s="271"/>
      <c r="E666" s="271"/>
      <c r="F666" s="271"/>
      <c r="G666" s="271"/>
      <c r="H666" s="271"/>
      <c r="I666" s="334" t="str">
        <f t="shared" si="20"/>
        <v/>
      </c>
      <c r="J666" s="270" t="str">
        <f t="shared" si="21"/>
        <v/>
      </c>
      <c r="K666" s="335"/>
      <c r="L666" s="336"/>
      <c r="M666" s="338"/>
    </row>
    <row r="667" spans="2:13">
      <c r="B667" s="271"/>
      <c r="C667" s="271"/>
      <c r="D667" s="271"/>
      <c r="E667" s="271"/>
      <c r="F667" s="271"/>
      <c r="G667" s="271"/>
      <c r="H667" s="271"/>
      <c r="I667" s="334" t="str">
        <f t="shared" si="20"/>
        <v/>
      </c>
      <c r="J667" s="270" t="str">
        <f t="shared" si="21"/>
        <v/>
      </c>
      <c r="K667" s="335"/>
      <c r="L667" s="336"/>
      <c r="M667" s="338"/>
    </row>
    <row r="668" spans="2:13">
      <c r="B668" s="271"/>
      <c r="C668" s="271"/>
      <c r="D668" s="271"/>
      <c r="E668" s="271"/>
      <c r="F668" s="271"/>
      <c r="G668" s="271"/>
      <c r="H668" s="271"/>
      <c r="I668" s="334" t="str">
        <f t="shared" si="20"/>
        <v/>
      </c>
      <c r="J668" s="270" t="str">
        <f t="shared" si="21"/>
        <v/>
      </c>
      <c r="K668" s="335"/>
      <c r="L668" s="336"/>
      <c r="M668" s="338"/>
    </row>
    <row r="669" spans="2:13">
      <c r="B669" s="271"/>
      <c r="C669" s="271"/>
      <c r="D669" s="271"/>
      <c r="E669" s="271"/>
      <c r="F669" s="271"/>
      <c r="G669" s="271"/>
      <c r="H669" s="271"/>
      <c r="I669" s="334" t="str">
        <f t="shared" si="20"/>
        <v/>
      </c>
      <c r="J669" s="270" t="str">
        <f t="shared" si="21"/>
        <v/>
      </c>
      <c r="K669" s="335"/>
      <c r="L669" s="336"/>
      <c r="M669" s="338"/>
    </row>
    <row r="670" spans="2:13">
      <c r="B670" s="271"/>
      <c r="C670" s="271"/>
      <c r="D670" s="271"/>
      <c r="E670" s="271"/>
      <c r="F670" s="271"/>
      <c r="G670" s="271"/>
      <c r="H670" s="271"/>
      <c r="I670" s="334" t="str">
        <f t="shared" si="20"/>
        <v/>
      </c>
      <c r="J670" s="270" t="str">
        <f t="shared" si="21"/>
        <v/>
      </c>
      <c r="K670" s="335"/>
      <c r="L670" s="336"/>
      <c r="M670" s="338"/>
    </row>
    <row r="671" spans="2:13">
      <c r="B671" s="271"/>
      <c r="C671" s="271"/>
      <c r="D671" s="271"/>
      <c r="E671" s="271"/>
      <c r="F671" s="271"/>
      <c r="G671" s="271"/>
      <c r="H671" s="271"/>
      <c r="I671" s="334" t="str">
        <f t="shared" si="20"/>
        <v/>
      </c>
      <c r="J671" s="270" t="str">
        <f t="shared" si="21"/>
        <v/>
      </c>
      <c r="K671" s="335"/>
      <c r="L671" s="336"/>
      <c r="M671" s="338"/>
    </row>
    <row r="672" spans="2:13">
      <c r="B672" s="271"/>
      <c r="C672" s="271"/>
      <c r="D672" s="271"/>
      <c r="E672" s="271"/>
      <c r="F672" s="271"/>
      <c r="G672" s="271"/>
      <c r="H672" s="271"/>
      <c r="I672" s="334" t="str">
        <f t="shared" si="20"/>
        <v/>
      </c>
      <c r="J672" s="270" t="str">
        <f t="shared" si="21"/>
        <v/>
      </c>
      <c r="K672" s="335"/>
      <c r="L672" s="336"/>
      <c r="M672" s="338"/>
    </row>
    <row r="673" spans="2:13">
      <c r="B673" s="271"/>
      <c r="C673" s="271"/>
      <c r="D673" s="271"/>
      <c r="E673" s="271"/>
      <c r="F673" s="271"/>
      <c r="G673" s="271"/>
      <c r="H673" s="271"/>
      <c r="I673" s="334" t="str">
        <f t="shared" si="20"/>
        <v/>
      </c>
      <c r="J673" s="270" t="str">
        <f t="shared" si="21"/>
        <v/>
      </c>
      <c r="K673" s="335"/>
      <c r="L673" s="336"/>
      <c r="M673" s="338"/>
    </row>
    <row r="674" spans="2:13">
      <c r="B674" s="271"/>
      <c r="C674" s="271"/>
      <c r="D674" s="271"/>
      <c r="E674" s="271"/>
      <c r="F674" s="271"/>
      <c r="G674" s="271"/>
      <c r="H674" s="271"/>
      <c r="I674" s="334" t="str">
        <f t="shared" si="20"/>
        <v/>
      </c>
      <c r="J674" s="270" t="str">
        <f t="shared" si="21"/>
        <v/>
      </c>
      <c r="K674" s="335"/>
      <c r="L674" s="336"/>
      <c r="M674" s="338"/>
    </row>
    <row r="675" spans="2:13">
      <c r="B675" s="271"/>
      <c r="C675" s="271"/>
      <c r="D675" s="271"/>
      <c r="E675" s="271"/>
      <c r="F675" s="271"/>
      <c r="G675" s="271"/>
      <c r="H675" s="271"/>
      <c r="I675" s="334" t="str">
        <f t="shared" si="20"/>
        <v/>
      </c>
      <c r="J675" s="270" t="str">
        <f t="shared" si="21"/>
        <v/>
      </c>
      <c r="K675" s="335"/>
      <c r="L675" s="336"/>
      <c r="M675" s="338"/>
    </row>
    <row r="676" spans="2:13">
      <c r="B676" s="271"/>
      <c r="C676" s="271"/>
      <c r="D676" s="271"/>
      <c r="E676" s="271"/>
      <c r="F676" s="271"/>
      <c r="G676" s="271"/>
      <c r="H676" s="271"/>
      <c r="I676" s="334" t="str">
        <f t="shared" si="20"/>
        <v/>
      </c>
      <c r="J676" s="270" t="str">
        <f t="shared" si="21"/>
        <v/>
      </c>
      <c r="K676" s="335"/>
      <c r="L676" s="336"/>
      <c r="M676" s="338"/>
    </row>
    <row r="677" spans="2:13">
      <c r="B677" s="271"/>
      <c r="C677" s="271"/>
      <c r="D677" s="271"/>
      <c r="E677" s="271"/>
      <c r="F677" s="271"/>
      <c r="G677" s="271"/>
      <c r="H677" s="271"/>
      <c r="I677" s="334" t="str">
        <f t="shared" si="20"/>
        <v/>
      </c>
      <c r="J677" s="270" t="str">
        <f t="shared" si="21"/>
        <v/>
      </c>
      <c r="K677" s="335"/>
      <c r="L677" s="336"/>
      <c r="M677" s="338"/>
    </row>
    <row r="678" spans="2:13">
      <c r="B678" s="271"/>
      <c r="C678" s="271"/>
      <c r="D678" s="271"/>
      <c r="E678" s="271"/>
      <c r="F678" s="271"/>
      <c r="G678" s="271"/>
      <c r="H678" s="271"/>
      <c r="I678" s="334" t="str">
        <f t="shared" si="20"/>
        <v/>
      </c>
      <c r="J678" s="270" t="str">
        <f t="shared" si="21"/>
        <v/>
      </c>
      <c r="K678" s="335"/>
      <c r="L678" s="336"/>
      <c r="M678" s="338"/>
    </row>
    <row r="679" spans="2:13">
      <c r="B679" s="271"/>
      <c r="C679" s="271"/>
      <c r="D679" s="271"/>
      <c r="E679" s="271"/>
      <c r="F679" s="271"/>
      <c r="G679" s="271"/>
      <c r="H679" s="271"/>
      <c r="I679" s="334" t="str">
        <f t="shared" si="20"/>
        <v/>
      </c>
      <c r="J679" s="270" t="str">
        <f t="shared" si="21"/>
        <v/>
      </c>
      <c r="K679" s="335"/>
      <c r="L679" s="336"/>
      <c r="M679" s="338"/>
    </row>
    <row r="680" spans="2:13">
      <c r="B680" s="271"/>
      <c r="C680" s="271"/>
      <c r="D680" s="271"/>
      <c r="E680" s="271"/>
      <c r="F680" s="271"/>
      <c r="G680" s="271"/>
      <c r="H680" s="271"/>
      <c r="I680" s="334" t="str">
        <f t="shared" si="20"/>
        <v/>
      </c>
      <c r="J680" s="270" t="str">
        <f t="shared" si="21"/>
        <v/>
      </c>
      <c r="K680" s="335"/>
      <c r="L680" s="336"/>
      <c r="M680" s="338"/>
    </row>
    <row r="681" spans="2:13">
      <c r="B681" s="271"/>
      <c r="C681" s="271"/>
      <c r="D681" s="271"/>
      <c r="E681" s="271"/>
      <c r="F681" s="271"/>
      <c r="G681" s="271"/>
      <c r="H681" s="271"/>
      <c r="I681" s="334" t="str">
        <f t="shared" si="20"/>
        <v/>
      </c>
      <c r="J681" s="270" t="str">
        <f t="shared" si="21"/>
        <v/>
      </c>
      <c r="K681" s="335"/>
      <c r="L681" s="336"/>
      <c r="M681" s="338"/>
    </row>
    <row r="682" spans="2:13">
      <c r="B682" s="271"/>
      <c r="C682" s="271"/>
      <c r="D682" s="271"/>
      <c r="E682" s="271"/>
      <c r="F682" s="271"/>
      <c r="G682" s="271"/>
      <c r="H682" s="271"/>
      <c r="I682" s="334" t="str">
        <f t="shared" si="20"/>
        <v/>
      </c>
      <c r="J682" s="270" t="str">
        <f t="shared" si="21"/>
        <v/>
      </c>
      <c r="K682" s="335"/>
      <c r="L682" s="336"/>
      <c r="M682" s="338"/>
    </row>
    <row r="683" spans="2:13">
      <c r="B683" s="271"/>
      <c r="C683" s="271"/>
      <c r="D683" s="271"/>
      <c r="E683" s="271"/>
      <c r="F683" s="271"/>
      <c r="G683" s="271"/>
      <c r="H683" s="271"/>
      <c r="I683" s="334" t="str">
        <f t="shared" si="20"/>
        <v/>
      </c>
      <c r="J683" s="270" t="str">
        <f t="shared" si="21"/>
        <v/>
      </c>
      <c r="K683" s="335"/>
      <c r="L683" s="336"/>
      <c r="M683" s="338"/>
    </row>
    <row r="684" spans="2:13">
      <c r="B684" s="271"/>
      <c r="C684" s="271"/>
      <c r="D684" s="271"/>
      <c r="E684" s="271"/>
      <c r="F684" s="271"/>
      <c r="G684" s="271"/>
      <c r="H684" s="271"/>
      <c r="I684" s="334" t="str">
        <f t="shared" si="20"/>
        <v/>
      </c>
      <c r="J684" s="270" t="str">
        <f t="shared" si="21"/>
        <v/>
      </c>
      <c r="K684" s="335"/>
      <c r="L684" s="336"/>
      <c r="M684" s="338"/>
    </row>
    <row r="685" spans="2:13">
      <c r="B685" s="271"/>
      <c r="C685" s="271"/>
      <c r="D685" s="271"/>
      <c r="E685" s="271"/>
      <c r="F685" s="271"/>
      <c r="G685" s="271"/>
      <c r="H685" s="271"/>
      <c r="I685" s="334" t="str">
        <f t="shared" si="20"/>
        <v/>
      </c>
      <c r="J685" s="270" t="str">
        <f t="shared" si="21"/>
        <v/>
      </c>
      <c r="K685" s="335"/>
      <c r="L685" s="336"/>
      <c r="M685" s="338"/>
    </row>
    <row r="686" spans="2:13">
      <c r="B686" s="271"/>
      <c r="C686" s="271"/>
      <c r="D686" s="271"/>
      <c r="E686" s="271"/>
      <c r="F686" s="271"/>
      <c r="G686" s="271"/>
      <c r="H686" s="271"/>
      <c r="I686" s="334" t="str">
        <f t="shared" si="20"/>
        <v/>
      </c>
      <c r="J686" s="270" t="str">
        <f t="shared" si="21"/>
        <v/>
      </c>
      <c r="K686" s="335"/>
      <c r="L686" s="336"/>
      <c r="M686" s="338"/>
    </row>
    <row r="687" spans="2:13">
      <c r="B687" s="271"/>
      <c r="C687" s="271"/>
      <c r="D687" s="271"/>
      <c r="E687" s="271"/>
      <c r="F687" s="271"/>
      <c r="G687" s="271"/>
      <c r="H687" s="271"/>
      <c r="I687" s="334" t="str">
        <f t="shared" si="20"/>
        <v/>
      </c>
      <c r="J687" s="270" t="str">
        <f t="shared" si="21"/>
        <v/>
      </c>
      <c r="K687" s="335"/>
      <c r="L687" s="336"/>
      <c r="M687" s="338"/>
    </row>
    <row r="688" spans="2:13">
      <c r="B688" s="271"/>
      <c r="C688" s="271"/>
      <c r="D688" s="271"/>
      <c r="E688" s="271"/>
      <c r="F688" s="271"/>
      <c r="G688" s="271"/>
      <c r="H688" s="271"/>
      <c r="I688" s="334" t="str">
        <f t="shared" si="20"/>
        <v/>
      </c>
      <c r="J688" s="270" t="str">
        <f t="shared" si="21"/>
        <v/>
      </c>
      <c r="K688" s="335"/>
      <c r="L688" s="336"/>
      <c r="M688" s="338"/>
    </row>
    <row r="689" spans="2:13">
      <c r="B689" s="271"/>
      <c r="C689" s="271"/>
      <c r="D689" s="271"/>
      <c r="E689" s="271"/>
      <c r="F689" s="271"/>
      <c r="G689" s="271"/>
      <c r="H689" s="271"/>
      <c r="I689" s="334" t="str">
        <f t="shared" si="20"/>
        <v/>
      </c>
      <c r="J689" s="270" t="str">
        <f t="shared" si="21"/>
        <v/>
      </c>
      <c r="K689" s="335"/>
      <c r="L689" s="336"/>
      <c r="M689" s="338"/>
    </row>
    <row r="690" spans="2:13">
      <c r="B690" s="271"/>
      <c r="C690" s="271"/>
      <c r="D690" s="271"/>
      <c r="E690" s="271"/>
      <c r="F690" s="271"/>
      <c r="G690" s="271"/>
      <c r="H690" s="271"/>
      <c r="I690" s="334" t="str">
        <f t="shared" si="20"/>
        <v/>
      </c>
      <c r="J690" s="270" t="str">
        <f t="shared" si="21"/>
        <v/>
      </c>
      <c r="K690" s="335"/>
      <c r="L690" s="336"/>
      <c r="M690" s="338"/>
    </row>
    <row r="691" spans="2:13">
      <c r="B691" s="271"/>
      <c r="C691" s="271"/>
      <c r="D691" s="271"/>
      <c r="E691" s="271"/>
      <c r="F691" s="271"/>
      <c r="G691" s="271"/>
      <c r="H691" s="271"/>
      <c r="I691" s="334" t="str">
        <f t="shared" si="20"/>
        <v/>
      </c>
      <c r="J691" s="270" t="str">
        <f t="shared" si="21"/>
        <v/>
      </c>
      <c r="K691" s="335"/>
      <c r="L691" s="336"/>
      <c r="M691" s="338"/>
    </row>
    <row r="692" spans="2:13">
      <c r="B692" s="271"/>
      <c r="C692" s="271"/>
      <c r="D692" s="271"/>
      <c r="E692" s="271"/>
      <c r="F692" s="271"/>
      <c r="G692" s="271"/>
      <c r="H692" s="271"/>
      <c r="I692" s="334" t="str">
        <f t="shared" si="20"/>
        <v/>
      </c>
      <c r="J692" s="270" t="str">
        <f t="shared" si="21"/>
        <v/>
      </c>
      <c r="K692" s="335"/>
      <c r="L692" s="336"/>
      <c r="M692" s="338"/>
    </row>
    <row r="693" spans="2:13">
      <c r="B693" s="271"/>
      <c r="C693" s="271"/>
      <c r="D693" s="271"/>
      <c r="E693" s="271"/>
      <c r="F693" s="271"/>
      <c r="G693" s="271"/>
      <c r="H693" s="271"/>
      <c r="I693" s="334" t="str">
        <f t="shared" si="20"/>
        <v/>
      </c>
      <c r="J693" s="270" t="str">
        <f t="shared" si="21"/>
        <v/>
      </c>
      <c r="K693" s="335"/>
      <c r="L693" s="336"/>
      <c r="M693" s="338"/>
    </row>
    <row r="694" spans="2:13">
      <c r="B694" s="271"/>
      <c r="C694" s="271"/>
      <c r="D694" s="271"/>
      <c r="E694" s="271"/>
      <c r="F694" s="271"/>
      <c r="G694" s="271"/>
      <c r="H694" s="271"/>
      <c r="I694" s="334" t="str">
        <f t="shared" si="20"/>
        <v/>
      </c>
      <c r="J694" s="270" t="str">
        <f t="shared" si="21"/>
        <v/>
      </c>
      <c r="K694" s="335"/>
      <c r="L694" s="336"/>
      <c r="M694" s="338"/>
    </row>
    <row r="695" spans="2:13">
      <c r="B695" s="271"/>
      <c r="C695" s="271"/>
      <c r="D695" s="271"/>
      <c r="E695" s="271"/>
      <c r="F695" s="271"/>
      <c r="G695" s="271"/>
      <c r="H695" s="271"/>
      <c r="I695" s="334" t="str">
        <f t="shared" si="20"/>
        <v/>
      </c>
      <c r="J695" s="270" t="str">
        <f t="shared" si="21"/>
        <v/>
      </c>
      <c r="K695" s="335"/>
      <c r="L695" s="336"/>
      <c r="M695" s="338"/>
    </row>
    <row r="696" spans="2:13">
      <c r="B696" s="271"/>
      <c r="C696" s="271"/>
      <c r="D696" s="271"/>
      <c r="E696" s="271"/>
      <c r="F696" s="271"/>
      <c r="G696" s="271"/>
      <c r="H696" s="271"/>
      <c r="I696" s="334" t="str">
        <f t="shared" si="20"/>
        <v/>
      </c>
      <c r="J696" s="270" t="str">
        <f t="shared" si="21"/>
        <v/>
      </c>
      <c r="K696" s="335"/>
      <c r="L696" s="336"/>
      <c r="M696" s="338"/>
    </row>
    <row r="697" spans="2:13">
      <c r="B697" s="271"/>
      <c r="C697" s="271"/>
      <c r="D697" s="271"/>
      <c r="E697" s="271"/>
      <c r="F697" s="271"/>
      <c r="G697" s="271"/>
      <c r="H697" s="271"/>
      <c r="I697" s="334" t="str">
        <f t="shared" si="20"/>
        <v/>
      </c>
      <c r="J697" s="270" t="str">
        <f t="shared" si="21"/>
        <v/>
      </c>
      <c r="K697" s="335"/>
      <c r="L697" s="336"/>
      <c r="M697" s="338"/>
    </row>
    <row r="698" spans="2:13">
      <c r="B698" s="271"/>
      <c r="C698" s="271"/>
      <c r="D698" s="271"/>
      <c r="E698" s="271"/>
      <c r="F698" s="271"/>
      <c r="G698" s="271"/>
      <c r="H698" s="271"/>
      <c r="I698" s="334" t="str">
        <f t="shared" si="20"/>
        <v/>
      </c>
      <c r="J698" s="270" t="str">
        <f t="shared" si="21"/>
        <v/>
      </c>
      <c r="K698" s="335"/>
      <c r="L698" s="336"/>
      <c r="M698" s="338"/>
    </row>
    <row r="699" spans="2:13">
      <c r="B699" s="271"/>
      <c r="C699" s="271"/>
      <c r="D699" s="271"/>
      <c r="E699" s="271"/>
      <c r="F699" s="271"/>
      <c r="G699" s="271"/>
      <c r="H699" s="271"/>
      <c r="I699" s="334" t="str">
        <f t="shared" si="20"/>
        <v/>
      </c>
      <c r="J699" s="270" t="str">
        <f t="shared" si="21"/>
        <v/>
      </c>
      <c r="K699" s="335"/>
      <c r="L699" s="336"/>
      <c r="M699" s="338"/>
    </row>
    <row r="700" spans="2:13">
      <c r="B700" s="271"/>
      <c r="C700" s="271"/>
      <c r="D700" s="271"/>
      <c r="E700" s="271"/>
      <c r="F700" s="271"/>
      <c r="G700" s="271"/>
      <c r="H700" s="271"/>
      <c r="I700" s="334" t="str">
        <f t="shared" si="20"/>
        <v/>
      </c>
      <c r="J700" s="270" t="str">
        <f t="shared" si="21"/>
        <v/>
      </c>
      <c r="K700" s="335"/>
      <c r="L700" s="336"/>
      <c r="M700" s="338"/>
    </row>
    <row r="701" spans="2:13">
      <c r="B701" s="271"/>
      <c r="C701" s="271"/>
      <c r="D701" s="271"/>
      <c r="E701" s="271"/>
      <c r="F701" s="271"/>
      <c r="G701" s="271"/>
      <c r="H701" s="271"/>
      <c r="I701" s="334" t="str">
        <f t="shared" si="20"/>
        <v/>
      </c>
      <c r="J701" s="270" t="str">
        <f t="shared" si="21"/>
        <v/>
      </c>
      <c r="K701" s="335"/>
      <c r="L701" s="336"/>
      <c r="M701" s="338"/>
    </row>
    <row r="702" spans="2:13">
      <c r="B702" s="271"/>
      <c r="C702" s="271"/>
      <c r="D702" s="271"/>
      <c r="E702" s="271"/>
      <c r="F702" s="271"/>
      <c r="G702" s="271"/>
      <c r="H702" s="271"/>
      <c r="I702" s="334" t="str">
        <f t="shared" si="20"/>
        <v/>
      </c>
      <c r="J702" s="270" t="str">
        <f t="shared" si="21"/>
        <v/>
      </c>
      <c r="K702" s="335"/>
      <c r="L702" s="336"/>
      <c r="M702" s="338"/>
    </row>
    <row r="703" spans="2:13">
      <c r="B703" s="271"/>
      <c r="C703" s="271"/>
      <c r="D703" s="271"/>
      <c r="E703" s="271"/>
      <c r="F703" s="271"/>
      <c r="G703" s="271"/>
      <c r="H703" s="271"/>
      <c r="I703" s="334" t="str">
        <f t="shared" si="20"/>
        <v/>
      </c>
      <c r="J703" s="270" t="str">
        <f t="shared" si="21"/>
        <v/>
      </c>
      <c r="K703" s="335"/>
      <c r="L703" s="336"/>
      <c r="M703" s="338"/>
    </row>
    <row r="704" spans="2:13">
      <c r="B704" s="271"/>
      <c r="C704" s="271"/>
      <c r="D704" s="271"/>
      <c r="E704" s="271"/>
      <c r="F704" s="271"/>
      <c r="G704" s="271"/>
      <c r="H704" s="271"/>
      <c r="I704" s="334" t="str">
        <f t="shared" si="20"/>
        <v/>
      </c>
      <c r="J704" s="270" t="str">
        <f t="shared" si="21"/>
        <v/>
      </c>
      <c r="K704" s="335"/>
      <c r="L704" s="336"/>
      <c r="M704" s="338"/>
    </row>
    <row r="705" spans="2:13">
      <c r="B705" s="271"/>
      <c r="C705" s="271"/>
      <c r="D705" s="271"/>
      <c r="E705" s="271"/>
      <c r="F705" s="271"/>
      <c r="G705" s="271"/>
      <c r="H705" s="271"/>
      <c r="I705" s="334" t="str">
        <f t="shared" si="20"/>
        <v/>
      </c>
      <c r="J705" s="270" t="str">
        <f t="shared" si="21"/>
        <v/>
      </c>
      <c r="K705" s="335"/>
      <c r="L705" s="336"/>
      <c r="M705" s="338"/>
    </row>
    <row r="706" spans="2:13">
      <c r="B706" s="271"/>
      <c r="C706" s="271"/>
      <c r="D706" s="271"/>
      <c r="E706" s="271"/>
      <c r="F706" s="271"/>
      <c r="G706" s="271"/>
      <c r="H706" s="271"/>
      <c r="I706" s="334" t="str">
        <f t="shared" si="20"/>
        <v/>
      </c>
      <c r="J706" s="270" t="str">
        <f t="shared" si="21"/>
        <v/>
      </c>
      <c r="K706" s="335"/>
      <c r="L706" s="336"/>
      <c r="M706" s="338"/>
    </row>
    <row r="707" spans="2:13">
      <c r="B707" s="271"/>
      <c r="C707" s="271"/>
      <c r="D707" s="271"/>
      <c r="E707" s="271"/>
      <c r="F707" s="271"/>
      <c r="G707" s="271"/>
      <c r="H707" s="271"/>
      <c r="I707" s="334" t="str">
        <f t="shared" si="20"/>
        <v/>
      </c>
      <c r="J707" s="270" t="str">
        <f t="shared" si="21"/>
        <v/>
      </c>
      <c r="K707" s="335"/>
      <c r="L707" s="336"/>
      <c r="M707" s="338"/>
    </row>
    <row r="708" spans="2:13">
      <c r="B708" s="271"/>
      <c r="C708" s="271"/>
      <c r="D708" s="271"/>
      <c r="E708" s="271"/>
      <c r="F708" s="271"/>
      <c r="G708" s="271"/>
      <c r="H708" s="271"/>
      <c r="I708" s="334" t="str">
        <f t="shared" si="20"/>
        <v/>
      </c>
      <c r="J708" s="270" t="str">
        <f t="shared" si="21"/>
        <v/>
      </c>
      <c r="K708" s="335"/>
      <c r="L708" s="336"/>
      <c r="M708" s="338"/>
    </row>
    <row r="709" spans="2:13">
      <c r="B709" s="271"/>
      <c r="C709" s="271"/>
      <c r="D709" s="271"/>
      <c r="E709" s="271"/>
      <c r="F709" s="271"/>
      <c r="G709" s="271"/>
      <c r="H709" s="271"/>
      <c r="I709" s="334" t="str">
        <f t="shared" si="20"/>
        <v/>
      </c>
      <c r="J709" s="270" t="str">
        <f t="shared" si="21"/>
        <v/>
      </c>
      <c r="K709" s="335"/>
      <c r="L709" s="336"/>
      <c r="M709" s="338"/>
    </row>
    <row r="710" spans="2:13">
      <c r="B710" s="271"/>
      <c r="C710" s="271"/>
      <c r="D710" s="271"/>
      <c r="E710" s="271"/>
      <c r="F710" s="271"/>
      <c r="G710" s="271"/>
      <c r="H710" s="271"/>
      <c r="I710" s="334" t="str">
        <f t="shared" si="20"/>
        <v/>
      </c>
      <c r="J710" s="270" t="str">
        <f t="shared" si="21"/>
        <v/>
      </c>
      <c r="K710" s="335"/>
      <c r="L710" s="336"/>
      <c r="M710" s="338"/>
    </row>
    <row r="711" spans="2:13">
      <c r="B711" s="271"/>
      <c r="C711" s="271"/>
      <c r="D711" s="271"/>
      <c r="E711" s="271"/>
      <c r="F711" s="271"/>
      <c r="G711" s="271"/>
      <c r="H711" s="271"/>
      <c r="I711" s="334" t="str">
        <f t="shared" si="20"/>
        <v/>
      </c>
      <c r="J711" s="270" t="str">
        <f t="shared" si="21"/>
        <v/>
      </c>
      <c r="K711" s="335"/>
      <c r="L711" s="336"/>
      <c r="M711" s="338"/>
    </row>
    <row r="712" spans="2:13">
      <c r="B712" s="271"/>
      <c r="C712" s="271"/>
      <c r="D712" s="271"/>
      <c r="E712" s="271"/>
      <c r="F712" s="271"/>
      <c r="G712" s="271"/>
      <c r="H712" s="271"/>
      <c r="I712" s="334" t="str">
        <f t="shared" si="20"/>
        <v/>
      </c>
      <c r="J712" s="270" t="str">
        <f t="shared" si="21"/>
        <v/>
      </c>
      <c r="K712" s="335"/>
      <c r="L712" s="336"/>
      <c r="M712" s="338"/>
    </row>
    <row r="713" spans="2:13">
      <c r="B713" s="271"/>
      <c r="C713" s="271"/>
      <c r="D713" s="271"/>
      <c r="E713" s="271"/>
      <c r="F713" s="271"/>
      <c r="G713" s="271"/>
      <c r="H713" s="271"/>
      <c r="I713" s="334" t="str">
        <f t="shared" si="20"/>
        <v/>
      </c>
      <c r="J713" s="270" t="str">
        <f t="shared" si="21"/>
        <v/>
      </c>
      <c r="K713" s="335"/>
      <c r="L713" s="336"/>
      <c r="M713" s="338"/>
    </row>
    <row r="714" spans="2:13">
      <c r="B714" s="271"/>
      <c r="C714" s="271"/>
      <c r="D714" s="271"/>
      <c r="E714" s="271"/>
      <c r="F714" s="271"/>
      <c r="G714" s="271"/>
      <c r="H714" s="271"/>
      <c r="I714" s="334" t="str">
        <f t="shared" si="20"/>
        <v/>
      </c>
      <c r="J714" s="270" t="str">
        <f t="shared" si="21"/>
        <v/>
      </c>
      <c r="K714" s="335"/>
      <c r="L714" s="336"/>
      <c r="M714" s="338"/>
    </row>
    <row r="715" spans="2:13">
      <c r="B715" s="271"/>
      <c r="C715" s="271"/>
      <c r="D715" s="271"/>
      <c r="E715" s="271"/>
      <c r="F715" s="271"/>
      <c r="G715" s="271"/>
      <c r="H715" s="271"/>
      <c r="I715" s="334" t="str">
        <f t="shared" si="20"/>
        <v/>
      </c>
      <c r="J715" s="270" t="str">
        <f t="shared" si="21"/>
        <v/>
      </c>
      <c r="K715" s="335"/>
      <c r="L715" s="336"/>
      <c r="M715" s="338"/>
    </row>
    <row r="716" spans="2:13">
      <c r="B716" s="271"/>
      <c r="C716" s="271"/>
      <c r="D716" s="271"/>
      <c r="E716" s="271"/>
      <c r="F716" s="271"/>
      <c r="G716" s="271"/>
      <c r="H716" s="271"/>
      <c r="I716" s="334" t="str">
        <f t="shared" si="20"/>
        <v/>
      </c>
      <c r="J716" s="270" t="str">
        <f t="shared" si="21"/>
        <v/>
      </c>
      <c r="K716" s="335"/>
      <c r="L716" s="336"/>
      <c r="M716" s="338"/>
    </row>
    <row r="717" spans="2:13">
      <c r="B717" s="271"/>
      <c r="C717" s="271"/>
      <c r="D717" s="271"/>
      <c r="E717" s="271"/>
      <c r="F717" s="271"/>
      <c r="G717" s="271"/>
      <c r="H717" s="271"/>
      <c r="I717" s="334" t="str">
        <f t="shared" si="20"/>
        <v/>
      </c>
      <c r="J717" s="270" t="str">
        <f t="shared" si="21"/>
        <v/>
      </c>
      <c r="K717" s="335"/>
      <c r="L717" s="336"/>
      <c r="M717" s="338"/>
    </row>
    <row r="718" spans="2:13">
      <c r="B718" s="271"/>
      <c r="C718" s="271"/>
      <c r="D718" s="271"/>
      <c r="E718" s="271"/>
      <c r="F718" s="271"/>
      <c r="G718" s="271"/>
      <c r="H718" s="271"/>
      <c r="I718" s="334" t="str">
        <f t="shared" ref="I718:I781" si="22">IF(H718="Large","NRS",IF(H718="International","FRS",IF(H718="SME - Medium","SME",IF(H718="SME - Micro","SME",IF(H718="SME - Small","SME","")))))</f>
        <v/>
      </c>
      <c r="J718" s="270" t="str">
        <f t="shared" ref="J718:J781" si="23">IF(B718="","","No")</f>
        <v/>
      </c>
      <c r="K718" s="335"/>
      <c r="L718" s="336"/>
      <c r="M718" s="338"/>
    </row>
    <row r="719" spans="2:13">
      <c r="B719" s="271"/>
      <c r="C719" s="271"/>
      <c r="D719" s="271"/>
      <c r="E719" s="271"/>
      <c r="F719" s="271"/>
      <c r="G719" s="271"/>
      <c r="H719" s="271"/>
      <c r="I719" s="334" t="str">
        <f t="shared" si="22"/>
        <v/>
      </c>
      <c r="J719" s="270" t="str">
        <f t="shared" si="23"/>
        <v/>
      </c>
      <c r="K719" s="335"/>
      <c r="L719" s="336"/>
      <c r="M719" s="338"/>
    </row>
    <row r="720" spans="2:13">
      <c r="B720" s="271"/>
      <c r="C720" s="271"/>
      <c r="D720" s="271"/>
      <c r="E720" s="271"/>
      <c r="F720" s="271"/>
      <c r="G720" s="271"/>
      <c r="H720" s="271"/>
      <c r="I720" s="334" t="str">
        <f t="shared" si="22"/>
        <v/>
      </c>
      <c r="J720" s="270" t="str">
        <f t="shared" si="23"/>
        <v/>
      </c>
      <c r="K720" s="335"/>
      <c r="L720" s="336"/>
      <c r="M720" s="338"/>
    </row>
    <row r="721" spans="2:13">
      <c r="B721" s="271"/>
      <c r="C721" s="271"/>
      <c r="D721" s="271"/>
      <c r="E721" s="271"/>
      <c r="F721" s="271"/>
      <c r="G721" s="271"/>
      <c r="H721" s="271"/>
      <c r="I721" s="334" t="str">
        <f t="shared" si="22"/>
        <v/>
      </c>
      <c r="J721" s="270" t="str">
        <f t="shared" si="23"/>
        <v/>
      </c>
      <c r="K721" s="335"/>
      <c r="L721" s="336"/>
      <c r="M721" s="338"/>
    </row>
    <row r="722" spans="2:13">
      <c r="B722" s="271"/>
      <c r="C722" s="271"/>
      <c r="D722" s="271"/>
      <c r="E722" s="271"/>
      <c r="F722" s="271"/>
      <c r="G722" s="271"/>
      <c r="H722" s="271"/>
      <c r="I722" s="334" t="str">
        <f t="shared" si="22"/>
        <v/>
      </c>
      <c r="J722" s="270" t="str">
        <f t="shared" si="23"/>
        <v/>
      </c>
      <c r="K722" s="335"/>
      <c r="L722" s="336"/>
      <c r="M722" s="338"/>
    </row>
    <row r="723" spans="2:13">
      <c r="B723" s="271"/>
      <c r="C723" s="271"/>
      <c r="D723" s="271"/>
      <c r="E723" s="271"/>
      <c r="F723" s="271"/>
      <c r="G723" s="271"/>
      <c r="H723" s="271"/>
      <c r="I723" s="334" t="str">
        <f t="shared" si="22"/>
        <v/>
      </c>
      <c r="J723" s="270" t="str">
        <f t="shared" si="23"/>
        <v/>
      </c>
      <c r="K723" s="335"/>
      <c r="L723" s="336"/>
      <c r="M723" s="338"/>
    </row>
    <row r="724" spans="2:13">
      <c r="B724" s="271"/>
      <c r="C724" s="271"/>
      <c r="D724" s="271"/>
      <c r="E724" s="271"/>
      <c r="F724" s="271"/>
      <c r="G724" s="271"/>
      <c r="H724" s="271"/>
      <c r="I724" s="334" t="str">
        <f t="shared" si="22"/>
        <v/>
      </c>
      <c r="J724" s="270" t="str">
        <f t="shared" si="23"/>
        <v/>
      </c>
      <c r="K724" s="335"/>
      <c r="L724" s="336"/>
      <c r="M724" s="338"/>
    </row>
    <row r="725" spans="2:13">
      <c r="B725" s="271"/>
      <c r="C725" s="271"/>
      <c r="D725" s="271"/>
      <c r="E725" s="271"/>
      <c r="F725" s="271"/>
      <c r="G725" s="271"/>
      <c r="H725" s="271"/>
      <c r="I725" s="334" t="str">
        <f t="shared" si="22"/>
        <v/>
      </c>
      <c r="J725" s="270" t="str">
        <f t="shared" si="23"/>
        <v/>
      </c>
      <c r="K725" s="335"/>
      <c r="L725" s="336"/>
      <c r="M725" s="338"/>
    </row>
    <row r="726" spans="2:13">
      <c r="B726" s="271"/>
      <c r="C726" s="271"/>
      <c r="D726" s="271"/>
      <c r="E726" s="271"/>
      <c r="F726" s="271"/>
      <c r="G726" s="271"/>
      <c r="H726" s="271"/>
      <c r="I726" s="334" t="str">
        <f t="shared" si="22"/>
        <v/>
      </c>
      <c r="J726" s="270" t="str">
        <f t="shared" si="23"/>
        <v/>
      </c>
      <c r="K726" s="335"/>
      <c r="L726" s="336"/>
      <c r="M726" s="338"/>
    </row>
    <row r="727" spans="2:13">
      <c r="B727" s="271"/>
      <c r="C727" s="271"/>
      <c r="D727" s="271"/>
      <c r="E727" s="271"/>
      <c r="F727" s="271"/>
      <c r="G727" s="271"/>
      <c r="H727" s="271"/>
      <c r="I727" s="334" t="str">
        <f t="shared" si="22"/>
        <v/>
      </c>
      <c r="J727" s="270" t="str">
        <f t="shared" si="23"/>
        <v/>
      </c>
      <c r="K727" s="335"/>
      <c r="L727" s="336"/>
      <c r="M727" s="338"/>
    </row>
    <row r="728" spans="2:13">
      <c r="B728" s="271"/>
      <c r="C728" s="271"/>
      <c r="D728" s="271"/>
      <c r="E728" s="271"/>
      <c r="F728" s="271"/>
      <c r="G728" s="271"/>
      <c r="H728" s="271"/>
      <c r="I728" s="334" t="str">
        <f t="shared" si="22"/>
        <v/>
      </c>
      <c r="J728" s="270" t="str">
        <f t="shared" si="23"/>
        <v/>
      </c>
      <c r="K728" s="335"/>
      <c r="L728" s="336"/>
      <c r="M728" s="338"/>
    </row>
    <row r="729" spans="2:13">
      <c r="B729" s="271"/>
      <c r="C729" s="271"/>
      <c r="D729" s="271"/>
      <c r="E729" s="271"/>
      <c r="F729" s="271"/>
      <c r="G729" s="271"/>
      <c r="H729" s="271"/>
      <c r="I729" s="334" t="str">
        <f t="shared" si="22"/>
        <v/>
      </c>
      <c r="J729" s="270" t="str">
        <f t="shared" si="23"/>
        <v/>
      </c>
      <c r="K729" s="335"/>
      <c r="L729" s="336"/>
      <c r="M729" s="338"/>
    </row>
    <row r="730" spans="2:13">
      <c r="B730" s="271"/>
      <c r="C730" s="271"/>
      <c r="D730" s="271"/>
      <c r="E730" s="271"/>
      <c r="F730" s="271"/>
      <c r="G730" s="271"/>
      <c r="H730" s="271"/>
      <c r="I730" s="334" t="str">
        <f t="shared" si="22"/>
        <v/>
      </c>
      <c r="J730" s="270" t="str">
        <f t="shared" si="23"/>
        <v/>
      </c>
      <c r="K730" s="335"/>
      <c r="L730" s="336"/>
      <c r="M730" s="338"/>
    </row>
    <row r="731" spans="2:13">
      <c r="B731" s="271"/>
      <c r="C731" s="271"/>
      <c r="D731" s="271"/>
      <c r="E731" s="271"/>
      <c r="F731" s="271"/>
      <c r="G731" s="271"/>
      <c r="H731" s="271"/>
      <c r="I731" s="334" t="str">
        <f t="shared" si="22"/>
        <v/>
      </c>
      <c r="J731" s="270" t="str">
        <f t="shared" si="23"/>
        <v/>
      </c>
      <c r="K731" s="335"/>
      <c r="L731" s="336"/>
      <c r="M731" s="338"/>
    </row>
    <row r="732" spans="2:13">
      <c r="B732" s="271"/>
      <c r="C732" s="271"/>
      <c r="D732" s="271"/>
      <c r="E732" s="271"/>
      <c r="F732" s="271"/>
      <c r="G732" s="271"/>
      <c r="H732" s="271"/>
      <c r="I732" s="334" t="str">
        <f t="shared" si="22"/>
        <v/>
      </c>
      <c r="J732" s="270" t="str">
        <f t="shared" si="23"/>
        <v/>
      </c>
      <c r="K732" s="335"/>
      <c r="L732" s="336"/>
      <c r="M732" s="338"/>
    </row>
    <row r="733" spans="2:13">
      <c r="B733" s="271"/>
      <c r="C733" s="271"/>
      <c r="D733" s="271"/>
      <c r="E733" s="271"/>
      <c r="F733" s="271"/>
      <c r="G733" s="271"/>
      <c r="H733" s="271"/>
      <c r="I733" s="334" t="str">
        <f t="shared" si="22"/>
        <v/>
      </c>
      <c r="J733" s="270" t="str">
        <f t="shared" si="23"/>
        <v/>
      </c>
      <c r="K733" s="335"/>
      <c r="L733" s="336"/>
      <c r="M733" s="338"/>
    </row>
    <row r="734" spans="2:13">
      <c r="B734" s="271"/>
      <c r="C734" s="271"/>
      <c r="D734" s="271"/>
      <c r="E734" s="271"/>
      <c r="F734" s="271"/>
      <c r="G734" s="271"/>
      <c r="H734" s="271"/>
      <c r="I734" s="334" t="str">
        <f t="shared" si="22"/>
        <v/>
      </c>
      <c r="J734" s="270" t="str">
        <f t="shared" si="23"/>
        <v/>
      </c>
      <c r="K734" s="335"/>
      <c r="L734" s="336"/>
      <c r="M734" s="338"/>
    </row>
    <row r="735" spans="2:13">
      <c r="B735" s="271"/>
      <c r="C735" s="271"/>
      <c r="D735" s="271"/>
      <c r="E735" s="271"/>
      <c r="F735" s="271"/>
      <c r="G735" s="271"/>
      <c r="H735" s="271"/>
      <c r="I735" s="334" t="str">
        <f t="shared" si="22"/>
        <v/>
      </c>
      <c r="J735" s="270" t="str">
        <f t="shared" si="23"/>
        <v/>
      </c>
      <c r="K735" s="335"/>
      <c r="L735" s="336"/>
      <c r="M735" s="338"/>
    </row>
    <row r="736" spans="2:13">
      <c r="B736" s="271"/>
      <c r="C736" s="271"/>
      <c r="D736" s="271"/>
      <c r="E736" s="271"/>
      <c r="F736" s="271"/>
      <c r="G736" s="271"/>
      <c r="H736" s="271"/>
      <c r="I736" s="334" t="str">
        <f t="shared" si="22"/>
        <v/>
      </c>
      <c r="J736" s="270" t="str">
        <f t="shared" si="23"/>
        <v/>
      </c>
      <c r="K736" s="335"/>
      <c r="L736" s="336"/>
      <c r="M736" s="338"/>
    </row>
    <row r="737" spans="2:13">
      <c r="B737" s="271"/>
      <c r="C737" s="271"/>
      <c r="D737" s="271"/>
      <c r="E737" s="271"/>
      <c r="F737" s="271"/>
      <c r="G737" s="271"/>
      <c r="H737" s="271"/>
      <c r="I737" s="334" t="str">
        <f t="shared" si="22"/>
        <v/>
      </c>
      <c r="J737" s="270" t="str">
        <f t="shared" si="23"/>
        <v/>
      </c>
      <c r="K737" s="335"/>
      <c r="L737" s="336"/>
      <c r="M737" s="338"/>
    </row>
    <row r="738" spans="2:13">
      <c r="B738" s="271"/>
      <c r="C738" s="271"/>
      <c r="D738" s="271"/>
      <c r="E738" s="271"/>
      <c r="F738" s="271"/>
      <c r="G738" s="271"/>
      <c r="H738" s="271"/>
      <c r="I738" s="334" t="str">
        <f t="shared" si="22"/>
        <v/>
      </c>
      <c r="J738" s="270" t="str">
        <f t="shared" si="23"/>
        <v/>
      </c>
      <c r="K738" s="335"/>
      <c r="L738" s="336"/>
      <c r="M738" s="338"/>
    </row>
    <row r="739" spans="2:13">
      <c r="B739" s="271"/>
      <c r="C739" s="271"/>
      <c r="D739" s="271"/>
      <c r="E739" s="271"/>
      <c r="F739" s="271"/>
      <c r="G739" s="271"/>
      <c r="H739" s="271"/>
      <c r="I739" s="334" t="str">
        <f t="shared" si="22"/>
        <v/>
      </c>
      <c r="J739" s="270" t="str">
        <f t="shared" si="23"/>
        <v/>
      </c>
      <c r="K739" s="335"/>
      <c r="L739" s="336"/>
      <c r="M739" s="338"/>
    </row>
    <row r="740" spans="2:13">
      <c r="B740" s="271"/>
      <c r="C740" s="271"/>
      <c r="D740" s="271"/>
      <c r="E740" s="271"/>
      <c r="F740" s="271"/>
      <c r="G740" s="271"/>
      <c r="H740" s="271"/>
      <c r="I740" s="334" t="str">
        <f t="shared" si="22"/>
        <v/>
      </c>
      <c r="J740" s="270" t="str">
        <f t="shared" si="23"/>
        <v/>
      </c>
      <c r="K740" s="335"/>
      <c r="L740" s="336"/>
      <c r="M740" s="338"/>
    </row>
    <row r="741" spans="2:13">
      <c r="B741" s="271"/>
      <c r="C741" s="271"/>
      <c r="D741" s="271"/>
      <c r="E741" s="271"/>
      <c r="F741" s="271"/>
      <c r="G741" s="271"/>
      <c r="H741" s="271"/>
      <c r="I741" s="334" t="str">
        <f t="shared" si="22"/>
        <v/>
      </c>
      <c r="J741" s="270" t="str">
        <f t="shared" si="23"/>
        <v/>
      </c>
      <c r="K741" s="335"/>
      <c r="L741" s="336"/>
      <c r="M741" s="338"/>
    </row>
    <row r="742" spans="2:13">
      <c r="B742" s="271"/>
      <c r="C742" s="271"/>
      <c r="D742" s="271"/>
      <c r="E742" s="271"/>
      <c r="F742" s="271"/>
      <c r="G742" s="271"/>
      <c r="H742" s="271"/>
      <c r="I742" s="334" t="str">
        <f t="shared" si="22"/>
        <v/>
      </c>
      <c r="J742" s="270" t="str">
        <f t="shared" si="23"/>
        <v/>
      </c>
      <c r="K742" s="335"/>
      <c r="L742" s="336"/>
      <c r="M742" s="338"/>
    </row>
    <row r="743" spans="2:13">
      <c r="B743" s="271"/>
      <c r="C743" s="271"/>
      <c r="D743" s="271"/>
      <c r="E743" s="271"/>
      <c r="F743" s="271"/>
      <c r="G743" s="271"/>
      <c r="H743" s="271"/>
      <c r="I743" s="334" t="str">
        <f t="shared" si="22"/>
        <v/>
      </c>
      <c r="J743" s="270" t="str">
        <f t="shared" si="23"/>
        <v/>
      </c>
      <c r="K743" s="335"/>
      <c r="L743" s="336"/>
      <c r="M743" s="338"/>
    </row>
    <row r="744" spans="2:13">
      <c r="B744" s="271"/>
      <c r="C744" s="271"/>
      <c r="D744" s="271"/>
      <c r="E744" s="271"/>
      <c r="F744" s="271"/>
      <c r="G744" s="271"/>
      <c r="H744" s="271"/>
      <c r="I744" s="334" t="str">
        <f t="shared" si="22"/>
        <v/>
      </c>
      <c r="J744" s="270" t="str">
        <f t="shared" si="23"/>
        <v/>
      </c>
      <c r="K744" s="335"/>
      <c r="L744" s="336"/>
      <c r="M744" s="338"/>
    </row>
    <row r="745" spans="2:13">
      <c r="B745" s="271"/>
      <c r="C745" s="271"/>
      <c r="D745" s="271"/>
      <c r="E745" s="271"/>
      <c r="F745" s="271"/>
      <c r="G745" s="271"/>
      <c r="H745" s="271"/>
      <c r="I745" s="334" t="str">
        <f t="shared" si="22"/>
        <v/>
      </c>
      <c r="J745" s="270" t="str">
        <f t="shared" si="23"/>
        <v/>
      </c>
      <c r="K745" s="335"/>
      <c r="L745" s="336"/>
      <c r="M745" s="338"/>
    </row>
    <row r="746" spans="2:13">
      <c r="B746" s="271"/>
      <c r="C746" s="271"/>
      <c r="D746" s="271"/>
      <c r="E746" s="271"/>
      <c r="F746" s="271"/>
      <c r="G746" s="271"/>
      <c r="H746" s="271"/>
      <c r="I746" s="334" t="str">
        <f t="shared" si="22"/>
        <v/>
      </c>
      <c r="J746" s="270" t="str">
        <f t="shared" si="23"/>
        <v/>
      </c>
      <c r="K746" s="335"/>
      <c r="L746" s="336"/>
      <c r="M746" s="338"/>
    </row>
    <row r="747" spans="2:13">
      <c r="B747" s="271"/>
      <c r="C747" s="271"/>
      <c r="D747" s="271"/>
      <c r="E747" s="271"/>
      <c r="F747" s="271"/>
      <c r="G747" s="271"/>
      <c r="H747" s="271"/>
      <c r="I747" s="334" t="str">
        <f t="shared" si="22"/>
        <v/>
      </c>
      <c r="J747" s="270" t="str">
        <f t="shared" si="23"/>
        <v/>
      </c>
      <c r="K747" s="335"/>
      <c r="L747" s="336"/>
      <c r="M747" s="338"/>
    </row>
    <row r="748" spans="2:13">
      <c r="B748" s="271"/>
      <c r="C748" s="271"/>
      <c r="D748" s="271"/>
      <c r="E748" s="271"/>
      <c r="F748" s="271"/>
      <c r="G748" s="271"/>
      <c r="H748" s="271"/>
      <c r="I748" s="334" t="str">
        <f t="shared" si="22"/>
        <v/>
      </c>
      <c r="J748" s="270" t="str">
        <f t="shared" si="23"/>
        <v/>
      </c>
      <c r="K748" s="335"/>
      <c r="L748" s="336"/>
      <c r="M748" s="338"/>
    </row>
    <row r="749" spans="2:13">
      <c r="B749" s="271"/>
      <c r="C749" s="271"/>
      <c r="D749" s="271"/>
      <c r="E749" s="271"/>
      <c r="F749" s="271"/>
      <c r="G749" s="271"/>
      <c r="H749" s="271"/>
      <c r="I749" s="334" t="str">
        <f t="shared" si="22"/>
        <v/>
      </c>
      <c r="J749" s="270" t="str">
        <f t="shared" si="23"/>
        <v/>
      </c>
      <c r="K749" s="335"/>
      <c r="L749" s="336"/>
      <c r="M749" s="338"/>
    </row>
    <row r="750" spans="2:13">
      <c r="B750" s="271"/>
      <c r="C750" s="271"/>
      <c r="D750" s="271"/>
      <c r="E750" s="271"/>
      <c r="F750" s="271"/>
      <c r="G750" s="271"/>
      <c r="H750" s="271"/>
      <c r="I750" s="334" t="str">
        <f t="shared" si="22"/>
        <v/>
      </c>
      <c r="J750" s="270" t="str">
        <f t="shared" si="23"/>
        <v/>
      </c>
      <c r="K750" s="335"/>
      <c r="L750" s="336"/>
      <c r="M750" s="338"/>
    </row>
    <row r="751" spans="2:13">
      <c r="B751" s="271"/>
      <c r="C751" s="271"/>
      <c r="D751" s="271"/>
      <c r="E751" s="271"/>
      <c r="F751" s="271"/>
      <c r="G751" s="271"/>
      <c r="H751" s="271"/>
      <c r="I751" s="334" t="str">
        <f t="shared" si="22"/>
        <v/>
      </c>
      <c r="J751" s="270" t="str">
        <f t="shared" si="23"/>
        <v/>
      </c>
      <c r="K751" s="335"/>
      <c r="L751" s="336"/>
      <c r="M751" s="338"/>
    </row>
    <row r="752" spans="2:13">
      <c r="B752" s="271"/>
      <c r="C752" s="271"/>
      <c r="D752" s="271"/>
      <c r="E752" s="271"/>
      <c r="F752" s="271"/>
      <c r="G752" s="271"/>
      <c r="H752" s="271"/>
      <c r="I752" s="334" t="str">
        <f t="shared" si="22"/>
        <v/>
      </c>
      <c r="J752" s="270" t="str">
        <f t="shared" si="23"/>
        <v/>
      </c>
      <c r="K752" s="335"/>
      <c r="L752" s="336"/>
      <c r="M752" s="338"/>
    </row>
    <row r="753" spans="2:13">
      <c r="B753" s="271"/>
      <c r="C753" s="271"/>
      <c r="D753" s="271"/>
      <c r="E753" s="271"/>
      <c r="F753" s="271"/>
      <c r="G753" s="271"/>
      <c r="H753" s="271"/>
      <c r="I753" s="334" t="str">
        <f t="shared" si="22"/>
        <v/>
      </c>
      <c r="J753" s="270" t="str">
        <f t="shared" si="23"/>
        <v/>
      </c>
      <c r="K753" s="335"/>
      <c r="L753" s="336"/>
      <c r="M753" s="338"/>
    </row>
    <row r="754" spans="2:13">
      <c r="B754" s="271"/>
      <c r="C754" s="271"/>
      <c r="D754" s="271"/>
      <c r="E754" s="271"/>
      <c r="F754" s="271"/>
      <c r="G754" s="271"/>
      <c r="H754" s="271"/>
      <c r="I754" s="334" t="str">
        <f t="shared" si="22"/>
        <v/>
      </c>
      <c r="J754" s="270" t="str">
        <f t="shared" si="23"/>
        <v/>
      </c>
      <c r="K754" s="335"/>
      <c r="L754" s="336"/>
      <c r="M754" s="338"/>
    </row>
    <row r="755" spans="2:13">
      <c r="B755" s="271"/>
      <c r="C755" s="271"/>
      <c r="D755" s="271"/>
      <c r="E755" s="271"/>
      <c r="F755" s="271"/>
      <c r="G755" s="271"/>
      <c r="H755" s="271"/>
      <c r="I755" s="334" t="str">
        <f t="shared" si="22"/>
        <v/>
      </c>
      <c r="J755" s="270" t="str">
        <f t="shared" si="23"/>
        <v/>
      </c>
      <c r="K755" s="335"/>
      <c r="L755" s="336"/>
      <c r="M755" s="338"/>
    </row>
    <row r="756" spans="2:13">
      <c r="B756" s="271"/>
      <c r="C756" s="271"/>
      <c r="D756" s="271"/>
      <c r="E756" s="271"/>
      <c r="F756" s="271"/>
      <c r="G756" s="271"/>
      <c r="H756" s="271"/>
      <c r="I756" s="334" t="str">
        <f t="shared" si="22"/>
        <v/>
      </c>
      <c r="J756" s="270" t="str">
        <f t="shared" si="23"/>
        <v/>
      </c>
      <c r="K756" s="335"/>
      <c r="L756" s="336"/>
      <c r="M756" s="338"/>
    </row>
    <row r="757" spans="2:13">
      <c r="B757" s="271"/>
      <c r="C757" s="271"/>
      <c r="D757" s="271"/>
      <c r="E757" s="271"/>
      <c r="F757" s="271"/>
      <c r="G757" s="271"/>
      <c r="H757" s="271"/>
      <c r="I757" s="334" t="str">
        <f t="shared" si="22"/>
        <v/>
      </c>
      <c r="J757" s="270" t="str">
        <f t="shared" si="23"/>
        <v/>
      </c>
      <c r="K757" s="335"/>
      <c r="L757" s="336"/>
      <c r="M757" s="338"/>
    </row>
    <row r="758" spans="2:13">
      <c r="B758" s="271"/>
      <c r="C758" s="271"/>
      <c r="D758" s="271"/>
      <c r="E758" s="271"/>
      <c r="F758" s="271"/>
      <c r="G758" s="271"/>
      <c r="H758" s="271"/>
      <c r="I758" s="334" t="str">
        <f t="shared" si="22"/>
        <v/>
      </c>
      <c r="J758" s="270" t="str">
        <f t="shared" si="23"/>
        <v/>
      </c>
      <c r="K758" s="335"/>
      <c r="L758" s="336"/>
      <c r="M758" s="338"/>
    </row>
    <row r="759" spans="2:13">
      <c r="B759" s="271"/>
      <c r="C759" s="271"/>
      <c r="D759" s="271"/>
      <c r="E759" s="271"/>
      <c r="F759" s="271"/>
      <c r="G759" s="271"/>
      <c r="H759" s="271"/>
      <c r="I759" s="334" t="str">
        <f t="shared" si="22"/>
        <v/>
      </c>
      <c r="J759" s="270" t="str">
        <f t="shared" si="23"/>
        <v/>
      </c>
      <c r="K759" s="335"/>
      <c r="L759" s="336"/>
      <c r="M759" s="338"/>
    </row>
    <row r="760" spans="2:13">
      <c r="B760" s="271"/>
      <c r="C760" s="271"/>
      <c r="D760" s="271"/>
      <c r="E760" s="271"/>
      <c r="F760" s="271"/>
      <c r="G760" s="271"/>
      <c r="H760" s="271"/>
      <c r="I760" s="334" t="str">
        <f t="shared" si="22"/>
        <v/>
      </c>
      <c r="J760" s="270" t="str">
        <f t="shared" si="23"/>
        <v/>
      </c>
      <c r="K760" s="335"/>
      <c r="L760" s="336"/>
      <c r="M760" s="338"/>
    </row>
    <row r="761" spans="2:13">
      <c r="B761" s="271"/>
      <c r="C761" s="271"/>
      <c r="D761" s="271"/>
      <c r="E761" s="271"/>
      <c r="F761" s="271"/>
      <c r="G761" s="271"/>
      <c r="H761" s="271"/>
      <c r="I761" s="334" t="str">
        <f t="shared" si="22"/>
        <v/>
      </c>
      <c r="J761" s="270" t="str">
        <f t="shared" si="23"/>
        <v/>
      </c>
      <c r="K761" s="335"/>
      <c r="L761" s="336"/>
      <c r="M761" s="338"/>
    </row>
    <row r="762" spans="2:13">
      <c r="B762" s="271"/>
      <c r="C762" s="271"/>
      <c r="D762" s="271"/>
      <c r="E762" s="271"/>
      <c r="F762" s="271"/>
      <c r="G762" s="271"/>
      <c r="H762" s="271"/>
      <c r="I762" s="334" t="str">
        <f t="shared" si="22"/>
        <v/>
      </c>
      <c r="J762" s="270" t="str">
        <f t="shared" si="23"/>
        <v/>
      </c>
      <c r="K762" s="335"/>
      <c r="L762" s="336"/>
      <c r="M762" s="338"/>
    </row>
    <row r="763" spans="2:13">
      <c r="B763" s="271"/>
      <c r="C763" s="271"/>
      <c r="D763" s="271"/>
      <c r="E763" s="271"/>
      <c r="F763" s="271"/>
      <c r="G763" s="271"/>
      <c r="H763" s="271"/>
      <c r="I763" s="334" t="str">
        <f t="shared" si="22"/>
        <v/>
      </c>
      <c r="J763" s="270" t="str">
        <f t="shared" si="23"/>
        <v/>
      </c>
      <c r="K763" s="335"/>
      <c r="L763" s="336"/>
      <c r="M763" s="338"/>
    </row>
    <row r="764" spans="2:13">
      <c r="B764" s="271"/>
      <c r="C764" s="271"/>
      <c r="D764" s="271"/>
      <c r="E764" s="271"/>
      <c r="F764" s="271"/>
      <c r="G764" s="271"/>
      <c r="H764" s="271"/>
      <c r="I764" s="334" t="str">
        <f t="shared" si="22"/>
        <v/>
      </c>
      <c r="J764" s="270" t="str">
        <f t="shared" si="23"/>
        <v/>
      </c>
      <c r="K764" s="335"/>
      <c r="L764" s="336"/>
      <c r="M764" s="338"/>
    </row>
    <row r="765" spans="2:13">
      <c r="B765" s="271"/>
      <c r="C765" s="271"/>
      <c r="D765" s="271"/>
      <c r="E765" s="271"/>
      <c r="F765" s="271"/>
      <c r="G765" s="271"/>
      <c r="H765" s="271"/>
      <c r="I765" s="334" t="str">
        <f t="shared" si="22"/>
        <v/>
      </c>
      <c r="J765" s="270" t="str">
        <f t="shared" si="23"/>
        <v/>
      </c>
      <c r="K765" s="335"/>
      <c r="L765" s="336"/>
      <c r="M765" s="338"/>
    </row>
    <row r="766" spans="2:13">
      <c r="B766" s="271"/>
      <c r="C766" s="271"/>
      <c r="D766" s="271"/>
      <c r="E766" s="271"/>
      <c r="F766" s="271"/>
      <c r="G766" s="271"/>
      <c r="H766" s="271"/>
      <c r="I766" s="334" t="str">
        <f t="shared" si="22"/>
        <v/>
      </c>
      <c r="J766" s="270" t="str">
        <f t="shared" si="23"/>
        <v/>
      </c>
      <c r="K766" s="335"/>
      <c r="L766" s="336"/>
      <c r="M766" s="338"/>
    </row>
    <row r="767" spans="2:13">
      <c r="B767" s="271"/>
      <c r="C767" s="271"/>
      <c r="D767" s="271"/>
      <c r="E767" s="271"/>
      <c r="F767" s="271"/>
      <c r="G767" s="271"/>
      <c r="H767" s="271"/>
      <c r="I767" s="334" t="str">
        <f t="shared" si="22"/>
        <v/>
      </c>
      <c r="J767" s="270" t="str">
        <f t="shared" si="23"/>
        <v/>
      </c>
      <c r="K767" s="335"/>
      <c r="L767" s="336"/>
      <c r="M767" s="338"/>
    </row>
    <row r="768" spans="2:13">
      <c r="B768" s="271"/>
      <c r="C768" s="271"/>
      <c r="D768" s="271"/>
      <c r="E768" s="271"/>
      <c r="F768" s="271"/>
      <c r="G768" s="271"/>
      <c r="H768" s="271"/>
      <c r="I768" s="334" t="str">
        <f t="shared" si="22"/>
        <v/>
      </c>
      <c r="J768" s="270" t="str">
        <f t="shared" si="23"/>
        <v/>
      </c>
      <c r="K768" s="335"/>
      <c r="L768" s="336"/>
      <c r="M768" s="338"/>
    </row>
    <row r="769" spans="2:13">
      <c r="B769" s="271"/>
      <c r="C769" s="271"/>
      <c r="D769" s="271"/>
      <c r="E769" s="271"/>
      <c r="F769" s="271"/>
      <c r="G769" s="271"/>
      <c r="H769" s="271"/>
      <c r="I769" s="334" t="str">
        <f t="shared" si="22"/>
        <v/>
      </c>
      <c r="J769" s="270" t="str">
        <f t="shared" si="23"/>
        <v/>
      </c>
      <c r="K769" s="335"/>
      <c r="L769" s="336"/>
      <c r="M769" s="338"/>
    </row>
    <row r="770" spans="2:13">
      <c r="B770" s="271"/>
      <c r="C770" s="271"/>
      <c r="D770" s="271"/>
      <c r="E770" s="271"/>
      <c r="F770" s="271"/>
      <c r="G770" s="271"/>
      <c r="H770" s="271"/>
      <c r="I770" s="334" t="str">
        <f t="shared" si="22"/>
        <v/>
      </c>
      <c r="J770" s="270" t="str">
        <f t="shared" si="23"/>
        <v/>
      </c>
      <c r="K770" s="335"/>
      <c r="L770" s="336"/>
      <c r="M770" s="338"/>
    </row>
    <row r="771" spans="2:13">
      <c r="B771" s="271"/>
      <c r="C771" s="271"/>
      <c r="D771" s="271"/>
      <c r="E771" s="271"/>
      <c r="F771" s="271"/>
      <c r="G771" s="271"/>
      <c r="H771" s="271"/>
      <c r="I771" s="334" t="str">
        <f t="shared" si="22"/>
        <v/>
      </c>
      <c r="J771" s="270" t="str">
        <f t="shared" si="23"/>
        <v/>
      </c>
      <c r="K771" s="335"/>
      <c r="L771" s="336"/>
      <c r="M771" s="338"/>
    </row>
    <row r="772" spans="2:13">
      <c r="B772" s="271"/>
      <c r="C772" s="271"/>
      <c r="D772" s="271"/>
      <c r="E772" s="271"/>
      <c r="F772" s="271"/>
      <c r="G772" s="271"/>
      <c r="H772" s="271"/>
      <c r="I772" s="334" t="str">
        <f t="shared" si="22"/>
        <v/>
      </c>
      <c r="J772" s="270" t="str">
        <f t="shared" si="23"/>
        <v/>
      </c>
      <c r="K772" s="335"/>
      <c r="L772" s="336"/>
      <c r="M772" s="338"/>
    </row>
    <row r="773" spans="2:13">
      <c r="B773" s="271"/>
      <c r="C773" s="271"/>
      <c r="D773" s="271"/>
      <c r="E773" s="271"/>
      <c r="F773" s="271"/>
      <c r="G773" s="271"/>
      <c r="H773" s="271"/>
      <c r="I773" s="334" t="str">
        <f t="shared" si="22"/>
        <v/>
      </c>
      <c r="J773" s="270" t="str">
        <f t="shared" si="23"/>
        <v/>
      </c>
      <c r="K773" s="335"/>
      <c r="L773" s="336"/>
      <c r="M773" s="338"/>
    </row>
    <row r="774" spans="2:13">
      <c r="B774" s="271"/>
      <c r="C774" s="271"/>
      <c r="D774" s="271"/>
      <c r="E774" s="271"/>
      <c r="F774" s="271"/>
      <c r="G774" s="271"/>
      <c r="H774" s="271"/>
      <c r="I774" s="334" t="str">
        <f t="shared" si="22"/>
        <v/>
      </c>
      <c r="J774" s="270" t="str">
        <f t="shared" si="23"/>
        <v/>
      </c>
      <c r="K774" s="335"/>
      <c r="L774" s="336"/>
      <c r="M774" s="338"/>
    </row>
    <row r="775" spans="2:13">
      <c r="B775" s="271"/>
      <c r="C775" s="271"/>
      <c r="D775" s="271"/>
      <c r="E775" s="271"/>
      <c r="F775" s="271"/>
      <c r="G775" s="271"/>
      <c r="H775" s="271"/>
      <c r="I775" s="334" t="str">
        <f t="shared" si="22"/>
        <v/>
      </c>
      <c r="J775" s="270" t="str">
        <f t="shared" si="23"/>
        <v/>
      </c>
      <c r="K775" s="335"/>
      <c r="L775" s="336"/>
      <c r="M775" s="338"/>
    </row>
    <row r="776" spans="2:13">
      <c r="B776" s="271"/>
      <c r="C776" s="271"/>
      <c r="D776" s="271"/>
      <c r="E776" s="271"/>
      <c r="F776" s="271"/>
      <c r="G776" s="271"/>
      <c r="H776" s="271"/>
      <c r="I776" s="334" t="str">
        <f t="shared" si="22"/>
        <v/>
      </c>
      <c r="J776" s="270" t="str">
        <f t="shared" si="23"/>
        <v/>
      </c>
      <c r="K776" s="335"/>
      <c r="L776" s="336"/>
      <c r="M776" s="338"/>
    </row>
    <row r="777" spans="2:13">
      <c r="B777" s="271"/>
      <c r="C777" s="271"/>
      <c r="D777" s="271"/>
      <c r="E777" s="271"/>
      <c r="F777" s="271"/>
      <c r="G777" s="271"/>
      <c r="H777" s="271"/>
      <c r="I777" s="334" t="str">
        <f t="shared" si="22"/>
        <v/>
      </c>
      <c r="J777" s="270" t="str">
        <f t="shared" si="23"/>
        <v/>
      </c>
      <c r="K777" s="335"/>
      <c r="L777" s="336"/>
      <c r="M777" s="338"/>
    </row>
    <row r="778" spans="2:13">
      <c r="B778" s="271"/>
      <c r="C778" s="271"/>
      <c r="D778" s="271"/>
      <c r="E778" s="271"/>
      <c r="F778" s="271"/>
      <c r="G778" s="271"/>
      <c r="H778" s="271"/>
      <c r="I778" s="334" t="str">
        <f t="shared" si="22"/>
        <v/>
      </c>
      <c r="J778" s="270" t="str">
        <f t="shared" si="23"/>
        <v/>
      </c>
      <c r="K778" s="335"/>
      <c r="L778" s="336"/>
      <c r="M778" s="338"/>
    </row>
    <row r="779" spans="2:13">
      <c r="B779" s="271"/>
      <c r="C779" s="271"/>
      <c r="D779" s="271"/>
      <c r="E779" s="271"/>
      <c r="F779" s="271"/>
      <c r="G779" s="271"/>
      <c r="H779" s="271"/>
      <c r="I779" s="334" t="str">
        <f t="shared" si="22"/>
        <v/>
      </c>
      <c r="J779" s="270" t="str">
        <f t="shared" si="23"/>
        <v/>
      </c>
      <c r="K779" s="335"/>
      <c r="L779" s="336"/>
      <c r="M779" s="338"/>
    </row>
    <row r="780" spans="2:13">
      <c r="B780" s="271"/>
      <c r="C780" s="271"/>
      <c r="D780" s="271"/>
      <c r="E780" s="271"/>
      <c r="F780" s="271"/>
      <c r="G780" s="271"/>
      <c r="H780" s="271"/>
      <c r="I780" s="334" t="str">
        <f t="shared" si="22"/>
        <v/>
      </c>
      <c r="J780" s="270" t="str">
        <f t="shared" si="23"/>
        <v/>
      </c>
      <c r="K780" s="335"/>
      <c r="L780" s="336"/>
      <c r="M780" s="338"/>
    </row>
    <row r="781" spans="2:13">
      <c r="B781" s="271"/>
      <c r="C781" s="271"/>
      <c r="D781" s="271"/>
      <c r="E781" s="271"/>
      <c r="F781" s="271"/>
      <c r="G781" s="271"/>
      <c r="H781" s="271"/>
      <c r="I781" s="334" t="str">
        <f t="shared" si="22"/>
        <v/>
      </c>
      <c r="J781" s="270" t="str">
        <f t="shared" si="23"/>
        <v/>
      </c>
      <c r="K781" s="335"/>
      <c r="L781" s="336"/>
      <c r="M781" s="338"/>
    </row>
    <row r="782" spans="2:13">
      <c r="B782" s="271"/>
      <c r="C782" s="271"/>
      <c r="D782" s="271"/>
      <c r="E782" s="271"/>
      <c r="F782" s="271"/>
      <c r="G782" s="271"/>
      <c r="H782" s="271"/>
      <c r="I782" s="334" t="str">
        <f t="shared" ref="I782:I845" si="24">IF(H782="Large","NRS",IF(H782="International","FRS",IF(H782="SME - Medium","SME",IF(H782="SME - Micro","SME",IF(H782="SME - Small","SME","")))))</f>
        <v/>
      </c>
      <c r="J782" s="270" t="str">
        <f t="shared" ref="J782:J845" si="25">IF(B782="","","No")</f>
        <v/>
      </c>
      <c r="K782" s="335"/>
      <c r="L782" s="336"/>
      <c r="M782" s="338"/>
    </row>
    <row r="783" spans="2:13">
      <c r="B783" s="271"/>
      <c r="C783" s="271"/>
      <c r="D783" s="271"/>
      <c r="E783" s="271"/>
      <c r="F783" s="271"/>
      <c r="G783" s="271"/>
      <c r="H783" s="271"/>
      <c r="I783" s="334" t="str">
        <f t="shared" si="24"/>
        <v/>
      </c>
      <c r="J783" s="270" t="str">
        <f t="shared" si="25"/>
        <v/>
      </c>
      <c r="K783" s="335"/>
      <c r="L783" s="336"/>
      <c r="M783" s="338"/>
    </row>
    <row r="784" spans="2:13">
      <c r="B784" s="271"/>
      <c r="C784" s="271"/>
      <c r="D784" s="271"/>
      <c r="E784" s="271"/>
      <c r="F784" s="271"/>
      <c r="G784" s="271"/>
      <c r="H784" s="271"/>
      <c r="I784" s="334" t="str">
        <f t="shared" si="24"/>
        <v/>
      </c>
      <c r="J784" s="270" t="str">
        <f t="shared" si="25"/>
        <v/>
      </c>
      <c r="K784" s="335"/>
      <c r="L784" s="336"/>
      <c r="M784" s="338"/>
    </row>
    <row r="785" spans="2:13">
      <c r="B785" s="271"/>
      <c r="C785" s="271"/>
      <c r="D785" s="271"/>
      <c r="E785" s="271"/>
      <c r="F785" s="271"/>
      <c r="G785" s="271"/>
      <c r="H785" s="271"/>
      <c r="I785" s="334" t="str">
        <f t="shared" si="24"/>
        <v/>
      </c>
      <c r="J785" s="270" t="str">
        <f t="shared" si="25"/>
        <v/>
      </c>
      <c r="K785" s="335"/>
      <c r="L785" s="336"/>
      <c r="M785" s="338"/>
    </row>
    <row r="786" spans="2:13">
      <c r="B786" s="271"/>
      <c r="C786" s="271"/>
      <c r="D786" s="271"/>
      <c r="E786" s="271"/>
      <c r="F786" s="271"/>
      <c r="G786" s="271"/>
      <c r="H786" s="271"/>
      <c r="I786" s="334" t="str">
        <f t="shared" si="24"/>
        <v/>
      </c>
      <c r="J786" s="270" t="str">
        <f t="shared" si="25"/>
        <v/>
      </c>
      <c r="K786" s="335"/>
      <c r="L786" s="336"/>
      <c r="M786" s="338"/>
    </row>
    <row r="787" spans="2:13">
      <c r="B787" s="271"/>
      <c r="C787" s="271"/>
      <c r="D787" s="271"/>
      <c r="E787" s="271"/>
      <c r="F787" s="271"/>
      <c r="G787" s="271"/>
      <c r="H787" s="271"/>
      <c r="I787" s="334" t="str">
        <f t="shared" si="24"/>
        <v/>
      </c>
      <c r="J787" s="270" t="str">
        <f t="shared" si="25"/>
        <v/>
      </c>
      <c r="K787" s="335"/>
      <c r="L787" s="336"/>
      <c r="M787" s="338"/>
    </row>
    <row r="788" spans="2:13">
      <c r="B788" s="271"/>
      <c r="C788" s="271"/>
      <c r="D788" s="271"/>
      <c r="E788" s="271"/>
      <c r="F788" s="271"/>
      <c r="G788" s="271"/>
      <c r="H788" s="271"/>
      <c r="I788" s="334" t="str">
        <f t="shared" si="24"/>
        <v/>
      </c>
      <c r="J788" s="270" t="str">
        <f t="shared" si="25"/>
        <v/>
      </c>
      <c r="K788" s="335"/>
      <c r="L788" s="336"/>
      <c r="M788" s="338"/>
    </row>
    <row r="789" spans="2:13">
      <c r="B789" s="271"/>
      <c r="C789" s="271"/>
      <c r="D789" s="271"/>
      <c r="E789" s="271"/>
      <c r="F789" s="271"/>
      <c r="G789" s="271"/>
      <c r="H789" s="271"/>
      <c r="I789" s="334" t="str">
        <f t="shared" si="24"/>
        <v/>
      </c>
      <c r="J789" s="270" t="str">
        <f t="shared" si="25"/>
        <v/>
      </c>
      <c r="K789" s="335"/>
      <c r="L789" s="336"/>
      <c r="M789" s="338"/>
    </row>
    <row r="790" spans="2:13">
      <c r="B790" s="271"/>
      <c r="C790" s="271"/>
      <c r="D790" s="271"/>
      <c r="E790" s="271"/>
      <c r="F790" s="271"/>
      <c r="G790" s="271"/>
      <c r="H790" s="271"/>
      <c r="I790" s="334" t="str">
        <f t="shared" si="24"/>
        <v/>
      </c>
      <c r="J790" s="270" t="str">
        <f t="shared" si="25"/>
        <v/>
      </c>
      <c r="K790" s="335"/>
      <c r="L790" s="336"/>
      <c r="M790" s="338"/>
    </row>
    <row r="791" spans="2:13">
      <c r="B791" s="271"/>
      <c r="C791" s="271"/>
      <c r="D791" s="271"/>
      <c r="E791" s="271"/>
      <c r="F791" s="271"/>
      <c r="G791" s="271"/>
      <c r="H791" s="271"/>
      <c r="I791" s="334" t="str">
        <f t="shared" si="24"/>
        <v/>
      </c>
      <c r="J791" s="270" t="str">
        <f t="shared" si="25"/>
        <v/>
      </c>
      <c r="K791" s="335"/>
      <c r="L791" s="336"/>
      <c r="M791" s="338"/>
    </row>
    <row r="792" spans="2:13">
      <c r="B792" s="271"/>
      <c r="C792" s="271"/>
      <c r="D792" s="271"/>
      <c r="E792" s="271"/>
      <c r="F792" s="271"/>
      <c r="G792" s="271"/>
      <c r="H792" s="271"/>
      <c r="I792" s="334" t="str">
        <f t="shared" si="24"/>
        <v/>
      </c>
      <c r="J792" s="270" t="str">
        <f t="shared" si="25"/>
        <v/>
      </c>
      <c r="K792" s="335"/>
      <c r="L792" s="336"/>
      <c r="M792" s="338"/>
    </row>
    <row r="793" spans="2:13">
      <c r="B793" s="271"/>
      <c r="C793" s="271"/>
      <c r="D793" s="271"/>
      <c r="E793" s="271"/>
      <c r="F793" s="271"/>
      <c r="G793" s="271"/>
      <c r="H793" s="271"/>
      <c r="I793" s="334" t="str">
        <f t="shared" si="24"/>
        <v/>
      </c>
      <c r="J793" s="270" t="str">
        <f t="shared" si="25"/>
        <v/>
      </c>
      <c r="K793" s="335"/>
      <c r="L793" s="336"/>
      <c r="M793" s="338"/>
    </row>
    <row r="794" spans="2:13">
      <c r="B794" s="271"/>
      <c r="C794" s="271"/>
      <c r="D794" s="271"/>
      <c r="E794" s="271"/>
      <c r="F794" s="271"/>
      <c r="G794" s="271"/>
      <c r="H794" s="271"/>
      <c r="I794" s="334" t="str">
        <f t="shared" si="24"/>
        <v/>
      </c>
      <c r="J794" s="270" t="str">
        <f t="shared" si="25"/>
        <v/>
      </c>
      <c r="K794" s="335"/>
      <c r="L794" s="336"/>
      <c r="M794" s="338"/>
    </row>
    <row r="795" spans="2:13">
      <c r="B795" s="271"/>
      <c r="C795" s="271"/>
      <c r="D795" s="271"/>
      <c r="E795" s="271"/>
      <c r="F795" s="271"/>
      <c r="G795" s="271"/>
      <c r="H795" s="271"/>
      <c r="I795" s="334" t="str">
        <f t="shared" si="24"/>
        <v/>
      </c>
      <c r="J795" s="270" t="str">
        <f t="shared" si="25"/>
        <v/>
      </c>
      <c r="K795" s="335"/>
      <c r="L795" s="336"/>
      <c r="M795" s="338"/>
    </row>
    <row r="796" spans="2:13">
      <c r="B796" s="271"/>
      <c r="C796" s="271"/>
      <c r="D796" s="271"/>
      <c r="E796" s="271"/>
      <c r="F796" s="271"/>
      <c r="G796" s="271"/>
      <c r="H796" s="271"/>
      <c r="I796" s="334" t="str">
        <f t="shared" si="24"/>
        <v/>
      </c>
      <c r="J796" s="270" t="str">
        <f t="shared" si="25"/>
        <v/>
      </c>
      <c r="K796" s="335"/>
      <c r="L796" s="336"/>
      <c r="M796" s="338"/>
    </row>
    <row r="797" spans="2:13">
      <c r="B797" s="271"/>
      <c r="C797" s="271"/>
      <c r="D797" s="271"/>
      <c r="E797" s="271"/>
      <c r="F797" s="271"/>
      <c r="G797" s="271"/>
      <c r="H797" s="271"/>
      <c r="I797" s="334" t="str">
        <f t="shared" si="24"/>
        <v/>
      </c>
      <c r="J797" s="270" t="str">
        <f t="shared" si="25"/>
        <v/>
      </c>
      <c r="K797" s="335"/>
      <c r="L797" s="336"/>
      <c r="M797" s="338"/>
    </row>
    <row r="798" spans="2:13">
      <c r="B798" s="271"/>
      <c r="C798" s="271"/>
      <c r="D798" s="271"/>
      <c r="E798" s="271"/>
      <c r="F798" s="271"/>
      <c r="G798" s="271"/>
      <c r="H798" s="271"/>
      <c r="I798" s="334" t="str">
        <f t="shared" si="24"/>
        <v/>
      </c>
      <c r="J798" s="270" t="str">
        <f t="shared" si="25"/>
        <v/>
      </c>
      <c r="K798" s="335"/>
      <c r="L798" s="336"/>
      <c r="M798" s="338"/>
    </row>
    <row r="799" spans="2:13">
      <c r="B799" s="271"/>
      <c r="C799" s="271"/>
      <c r="D799" s="271"/>
      <c r="E799" s="271"/>
      <c r="F799" s="271"/>
      <c r="G799" s="271"/>
      <c r="H799" s="271"/>
      <c r="I799" s="334" t="str">
        <f t="shared" si="24"/>
        <v/>
      </c>
      <c r="J799" s="270" t="str">
        <f t="shared" si="25"/>
        <v/>
      </c>
      <c r="K799" s="335"/>
      <c r="L799" s="336"/>
      <c r="M799" s="338"/>
    </row>
    <row r="800" spans="2:13">
      <c r="B800" s="271"/>
      <c r="C800" s="271"/>
      <c r="D800" s="271"/>
      <c r="E800" s="271"/>
      <c r="F800" s="271"/>
      <c r="G800" s="271"/>
      <c r="H800" s="271"/>
      <c r="I800" s="334" t="str">
        <f t="shared" si="24"/>
        <v/>
      </c>
      <c r="J800" s="270" t="str">
        <f t="shared" si="25"/>
        <v/>
      </c>
      <c r="K800" s="335"/>
      <c r="L800" s="336"/>
      <c r="M800" s="338"/>
    </row>
    <row r="801" spans="2:13">
      <c r="B801" s="271"/>
      <c r="C801" s="271"/>
      <c r="D801" s="271"/>
      <c r="E801" s="271"/>
      <c r="F801" s="271"/>
      <c r="G801" s="271"/>
      <c r="H801" s="271"/>
      <c r="I801" s="334" t="str">
        <f t="shared" si="24"/>
        <v/>
      </c>
      <c r="J801" s="270" t="str">
        <f t="shared" si="25"/>
        <v/>
      </c>
      <c r="K801" s="335"/>
      <c r="L801" s="336"/>
      <c r="M801" s="338"/>
    </row>
    <row r="802" spans="2:13">
      <c r="B802" s="271"/>
      <c r="C802" s="271"/>
      <c r="D802" s="271"/>
      <c r="E802" s="271"/>
      <c r="F802" s="271"/>
      <c r="G802" s="271"/>
      <c r="H802" s="271"/>
      <c r="I802" s="334" t="str">
        <f t="shared" si="24"/>
        <v/>
      </c>
      <c r="J802" s="270" t="str">
        <f t="shared" si="25"/>
        <v/>
      </c>
      <c r="K802" s="335"/>
      <c r="L802" s="336"/>
      <c r="M802" s="338"/>
    </row>
    <row r="803" spans="2:13">
      <c r="B803" s="271"/>
      <c r="C803" s="271"/>
      <c r="D803" s="271"/>
      <c r="E803" s="271"/>
      <c r="F803" s="271"/>
      <c r="G803" s="271"/>
      <c r="H803" s="271"/>
      <c r="I803" s="334" t="str">
        <f t="shared" si="24"/>
        <v/>
      </c>
      <c r="J803" s="270" t="str">
        <f t="shared" si="25"/>
        <v/>
      </c>
      <c r="K803" s="335"/>
      <c r="L803" s="336"/>
      <c r="M803" s="338"/>
    </row>
    <row r="804" spans="2:13">
      <c r="B804" s="271"/>
      <c r="C804" s="271"/>
      <c r="D804" s="271"/>
      <c r="E804" s="271"/>
      <c r="F804" s="271"/>
      <c r="G804" s="271"/>
      <c r="H804" s="271"/>
      <c r="I804" s="334" t="str">
        <f t="shared" si="24"/>
        <v/>
      </c>
      <c r="J804" s="270" t="str">
        <f t="shared" si="25"/>
        <v/>
      </c>
      <c r="K804" s="335"/>
      <c r="L804" s="336"/>
      <c r="M804" s="338"/>
    </row>
    <row r="805" spans="2:13">
      <c r="B805" s="271"/>
      <c r="C805" s="271"/>
      <c r="D805" s="271"/>
      <c r="E805" s="271"/>
      <c r="F805" s="271"/>
      <c r="G805" s="271"/>
      <c r="H805" s="271"/>
      <c r="I805" s="334" t="str">
        <f t="shared" si="24"/>
        <v/>
      </c>
      <c r="J805" s="270" t="str">
        <f t="shared" si="25"/>
        <v/>
      </c>
      <c r="K805" s="335"/>
      <c r="L805" s="336"/>
      <c r="M805" s="338"/>
    </row>
    <row r="806" spans="2:13">
      <c r="B806" s="271"/>
      <c r="C806" s="271"/>
      <c r="D806" s="271"/>
      <c r="E806" s="271"/>
      <c r="F806" s="271"/>
      <c r="G806" s="271"/>
      <c r="H806" s="271"/>
      <c r="I806" s="334" t="str">
        <f t="shared" si="24"/>
        <v/>
      </c>
      <c r="J806" s="270" t="str">
        <f t="shared" si="25"/>
        <v/>
      </c>
      <c r="K806" s="335"/>
      <c r="L806" s="336"/>
      <c r="M806" s="338"/>
    </row>
    <row r="807" spans="2:13">
      <c r="B807" s="271"/>
      <c r="C807" s="271"/>
      <c r="D807" s="271"/>
      <c r="E807" s="271"/>
      <c r="F807" s="271"/>
      <c r="G807" s="271"/>
      <c r="H807" s="271"/>
      <c r="I807" s="334" t="str">
        <f t="shared" si="24"/>
        <v/>
      </c>
      <c r="J807" s="270" t="str">
        <f t="shared" si="25"/>
        <v/>
      </c>
      <c r="K807" s="335"/>
      <c r="L807" s="336"/>
      <c r="M807" s="338"/>
    </row>
    <row r="808" spans="2:13">
      <c r="B808" s="271"/>
      <c r="C808" s="271"/>
      <c r="D808" s="271"/>
      <c r="E808" s="271"/>
      <c r="F808" s="271"/>
      <c r="G808" s="271"/>
      <c r="H808" s="271"/>
      <c r="I808" s="334" t="str">
        <f t="shared" si="24"/>
        <v/>
      </c>
      <c r="J808" s="270" t="str">
        <f t="shared" si="25"/>
        <v/>
      </c>
      <c r="K808" s="335"/>
      <c r="L808" s="336"/>
      <c r="M808" s="338"/>
    </row>
    <row r="809" spans="2:13">
      <c r="B809" s="271"/>
      <c r="C809" s="271"/>
      <c r="D809" s="271"/>
      <c r="E809" s="271"/>
      <c r="F809" s="271"/>
      <c r="G809" s="271"/>
      <c r="H809" s="271"/>
      <c r="I809" s="334" t="str">
        <f t="shared" si="24"/>
        <v/>
      </c>
      <c r="J809" s="270" t="str">
        <f t="shared" si="25"/>
        <v/>
      </c>
      <c r="K809" s="335"/>
      <c r="L809" s="336"/>
      <c r="M809" s="338"/>
    </row>
    <row r="810" spans="2:13">
      <c r="B810" s="271"/>
      <c r="C810" s="271"/>
      <c r="D810" s="271"/>
      <c r="E810" s="271"/>
      <c r="F810" s="271"/>
      <c r="G810" s="271"/>
      <c r="H810" s="271"/>
      <c r="I810" s="334" t="str">
        <f t="shared" si="24"/>
        <v/>
      </c>
      <c r="J810" s="270" t="str">
        <f t="shared" si="25"/>
        <v/>
      </c>
      <c r="K810" s="335"/>
      <c r="L810" s="336"/>
      <c r="M810" s="338"/>
    </row>
    <row r="811" spans="2:13">
      <c r="B811" s="271"/>
      <c r="C811" s="271"/>
      <c r="D811" s="271"/>
      <c r="E811" s="271"/>
      <c r="F811" s="271"/>
      <c r="G811" s="271"/>
      <c r="H811" s="271"/>
      <c r="I811" s="334" t="str">
        <f t="shared" si="24"/>
        <v/>
      </c>
      <c r="J811" s="270" t="str">
        <f t="shared" si="25"/>
        <v/>
      </c>
      <c r="K811" s="335"/>
      <c r="L811" s="336"/>
      <c r="M811" s="338"/>
    </row>
    <row r="812" spans="2:13">
      <c r="B812" s="271"/>
      <c r="C812" s="271"/>
      <c r="D812" s="271"/>
      <c r="E812" s="271"/>
      <c r="F812" s="271"/>
      <c r="G812" s="271"/>
      <c r="H812" s="271"/>
      <c r="I812" s="334" t="str">
        <f t="shared" si="24"/>
        <v/>
      </c>
      <c r="J812" s="270" t="str">
        <f t="shared" si="25"/>
        <v/>
      </c>
      <c r="K812" s="335"/>
      <c r="L812" s="336"/>
      <c r="M812" s="338"/>
    </row>
    <row r="813" spans="2:13">
      <c r="B813" s="271"/>
      <c r="C813" s="271"/>
      <c r="D813" s="271"/>
      <c r="E813" s="271"/>
      <c r="F813" s="271"/>
      <c r="G813" s="271"/>
      <c r="H813" s="271"/>
      <c r="I813" s="334" t="str">
        <f t="shared" si="24"/>
        <v/>
      </c>
      <c r="J813" s="270" t="str">
        <f t="shared" si="25"/>
        <v/>
      </c>
      <c r="K813" s="335"/>
      <c r="L813" s="336"/>
      <c r="M813" s="338"/>
    </row>
    <row r="814" spans="2:13">
      <c r="B814" s="271"/>
      <c r="C814" s="271"/>
      <c r="D814" s="271"/>
      <c r="E814" s="271"/>
      <c r="F814" s="271"/>
      <c r="G814" s="271"/>
      <c r="H814" s="271"/>
      <c r="I814" s="334" t="str">
        <f t="shared" si="24"/>
        <v/>
      </c>
      <c r="J814" s="270" t="str">
        <f t="shared" si="25"/>
        <v/>
      </c>
      <c r="K814" s="335"/>
      <c r="L814" s="336"/>
      <c r="M814" s="338"/>
    </row>
    <row r="815" spans="2:13">
      <c r="B815" s="271"/>
      <c r="C815" s="271"/>
      <c r="D815" s="271"/>
      <c r="E815" s="271"/>
      <c r="F815" s="271"/>
      <c r="G815" s="271"/>
      <c r="H815" s="271"/>
      <c r="I815" s="334" t="str">
        <f t="shared" si="24"/>
        <v/>
      </c>
      <c r="J815" s="270" t="str">
        <f t="shared" si="25"/>
        <v/>
      </c>
      <c r="K815" s="335"/>
      <c r="L815" s="336"/>
      <c r="M815" s="338"/>
    </row>
    <row r="816" spans="2:13">
      <c r="B816" s="271"/>
      <c r="C816" s="271"/>
      <c r="D816" s="271"/>
      <c r="E816" s="271"/>
      <c r="F816" s="271"/>
      <c r="G816" s="271"/>
      <c r="H816" s="271"/>
      <c r="I816" s="334" t="str">
        <f t="shared" si="24"/>
        <v/>
      </c>
      <c r="J816" s="270" t="str">
        <f t="shared" si="25"/>
        <v/>
      </c>
      <c r="K816" s="335"/>
      <c r="L816" s="336"/>
      <c r="M816" s="338"/>
    </row>
    <row r="817" spans="2:13">
      <c r="B817" s="271"/>
      <c r="C817" s="271"/>
      <c r="D817" s="271"/>
      <c r="E817" s="271"/>
      <c r="F817" s="271"/>
      <c r="G817" s="271"/>
      <c r="H817" s="271"/>
      <c r="I817" s="334" t="str">
        <f t="shared" si="24"/>
        <v/>
      </c>
      <c r="J817" s="270" t="str">
        <f t="shared" si="25"/>
        <v/>
      </c>
      <c r="K817" s="335"/>
      <c r="L817" s="336"/>
      <c r="M817" s="338"/>
    </row>
    <row r="818" spans="2:13">
      <c r="B818" s="271"/>
      <c r="C818" s="271"/>
      <c r="D818" s="271"/>
      <c r="E818" s="271"/>
      <c r="F818" s="271"/>
      <c r="G818" s="271"/>
      <c r="H818" s="271"/>
      <c r="I818" s="334" t="str">
        <f t="shared" si="24"/>
        <v/>
      </c>
      <c r="J818" s="270" t="str">
        <f t="shared" si="25"/>
        <v/>
      </c>
      <c r="K818" s="335"/>
      <c r="L818" s="336"/>
      <c r="M818" s="338"/>
    </row>
    <row r="819" spans="2:13">
      <c r="B819" s="271"/>
      <c r="C819" s="271"/>
      <c r="D819" s="271"/>
      <c r="E819" s="271"/>
      <c r="F819" s="271"/>
      <c r="G819" s="271"/>
      <c r="H819" s="271"/>
      <c r="I819" s="334" t="str">
        <f t="shared" si="24"/>
        <v/>
      </c>
      <c r="J819" s="270" t="str">
        <f t="shared" si="25"/>
        <v/>
      </c>
      <c r="K819" s="335"/>
      <c r="L819" s="336"/>
      <c r="M819" s="338"/>
    </row>
    <row r="820" spans="2:13">
      <c r="B820" s="271"/>
      <c r="C820" s="271"/>
      <c r="D820" s="271"/>
      <c r="E820" s="271"/>
      <c r="F820" s="271"/>
      <c r="G820" s="271"/>
      <c r="H820" s="271"/>
      <c r="I820" s="334" t="str">
        <f t="shared" si="24"/>
        <v/>
      </c>
      <c r="J820" s="270" t="str">
        <f t="shared" si="25"/>
        <v/>
      </c>
      <c r="K820" s="335"/>
      <c r="L820" s="336"/>
      <c r="M820" s="338"/>
    </row>
    <row r="821" spans="2:13">
      <c r="B821" s="271"/>
      <c r="C821" s="271"/>
      <c r="D821" s="271"/>
      <c r="E821" s="271"/>
      <c r="F821" s="271"/>
      <c r="G821" s="271"/>
      <c r="H821" s="271"/>
      <c r="I821" s="334" t="str">
        <f t="shared" si="24"/>
        <v/>
      </c>
      <c r="J821" s="270" t="str">
        <f t="shared" si="25"/>
        <v/>
      </c>
      <c r="K821" s="335"/>
      <c r="L821" s="336"/>
      <c r="M821" s="338"/>
    </row>
    <row r="822" spans="2:13">
      <c r="B822" s="271"/>
      <c r="C822" s="271"/>
      <c r="D822" s="271"/>
      <c r="E822" s="271"/>
      <c r="F822" s="271"/>
      <c r="G822" s="271"/>
      <c r="H822" s="271"/>
      <c r="I822" s="334" t="str">
        <f t="shared" si="24"/>
        <v/>
      </c>
      <c r="J822" s="270" t="str">
        <f t="shared" si="25"/>
        <v/>
      </c>
      <c r="K822" s="335"/>
      <c r="L822" s="336"/>
      <c r="M822" s="338"/>
    </row>
    <row r="823" spans="2:13">
      <c r="B823" s="271"/>
      <c r="C823" s="271"/>
      <c r="D823" s="271"/>
      <c r="E823" s="271"/>
      <c r="F823" s="271"/>
      <c r="G823" s="271"/>
      <c r="H823" s="271"/>
      <c r="I823" s="334" t="str">
        <f t="shared" si="24"/>
        <v/>
      </c>
      <c r="J823" s="270" t="str">
        <f t="shared" si="25"/>
        <v/>
      </c>
      <c r="K823" s="335"/>
      <c r="L823" s="336"/>
      <c r="M823" s="338"/>
    </row>
    <row r="824" spans="2:13">
      <c r="B824" s="271"/>
      <c r="C824" s="271"/>
      <c r="D824" s="271"/>
      <c r="E824" s="271"/>
      <c r="F824" s="271"/>
      <c r="G824" s="271"/>
      <c r="H824" s="271"/>
      <c r="I824" s="334" t="str">
        <f t="shared" si="24"/>
        <v/>
      </c>
      <c r="J824" s="270" t="str">
        <f t="shared" si="25"/>
        <v/>
      </c>
      <c r="K824" s="335"/>
      <c r="L824" s="336"/>
      <c r="M824" s="338"/>
    </row>
    <row r="825" spans="2:13">
      <c r="B825" s="271"/>
      <c r="C825" s="271"/>
      <c r="D825" s="271"/>
      <c r="E825" s="271"/>
      <c r="F825" s="271"/>
      <c r="G825" s="271"/>
      <c r="H825" s="271"/>
      <c r="I825" s="334" t="str">
        <f t="shared" si="24"/>
        <v/>
      </c>
      <c r="J825" s="270" t="str">
        <f t="shared" si="25"/>
        <v/>
      </c>
      <c r="K825" s="335"/>
      <c r="L825" s="336"/>
      <c r="M825" s="338"/>
    </row>
    <row r="826" spans="2:13">
      <c r="B826" s="271"/>
      <c r="C826" s="271"/>
      <c r="D826" s="271"/>
      <c r="E826" s="271"/>
      <c r="F826" s="271"/>
      <c r="G826" s="271"/>
      <c r="H826" s="271"/>
      <c r="I826" s="334" t="str">
        <f t="shared" si="24"/>
        <v/>
      </c>
      <c r="J826" s="270" t="str">
        <f t="shared" si="25"/>
        <v/>
      </c>
      <c r="K826" s="335"/>
      <c r="L826" s="336"/>
      <c r="M826" s="338"/>
    </row>
    <row r="827" spans="2:13">
      <c r="B827" s="271"/>
      <c r="C827" s="271"/>
      <c r="D827" s="271"/>
      <c r="E827" s="271"/>
      <c r="F827" s="271"/>
      <c r="G827" s="271"/>
      <c r="H827" s="271"/>
      <c r="I827" s="334" t="str">
        <f t="shared" si="24"/>
        <v/>
      </c>
      <c r="J827" s="270" t="str">
        <f t="shared" si="25"/>
        <v/>
      </c>
      <c r="K827" s="335"/>
      <c r="L827" s="336"/>
      <c r="M827" s="338"/>
    </row>
    <row r="828" spans="2:13">
      <c r="B828" s="271"/>
      <c r="C828" s="271"/>
      <c r="D828" s="271"/>
      <c r="E828" s="271"/>
      <c r="F828" s="271"/>
      <c r="G828" s="271"/>
      <c r="H828" s="271"/>
      <c r="I828" s="334" t="str">
        <f t="shared" si="24"/>
        <v/>
      </c>
      <c r="J828" s="270" t="str">
        <f t="shared" si="25"/>
        <v/>
      </c>
      <c r="K828" s="335"/>
      <c r="L828" s="336"/>
      <c r="M828" s="338"/>
    </row>
    <row r="829" spans="2:13">
      <c r="B829" s="271"/>
      <c r="C829" s="271"/>
      <c r="D829" s="271"/>
      <c r="E829" s="271"/>
      <c r="F829" s="271"/>
      <c r="G829" s="271"/>
      <c r="H829" s="271"/>
      <c r="I829" s="334" t="str">
        <f t="shared" si="24"/>
        <v/>
      </c>
      <c r="J829" s="270" t="str">
        <f t="shared" si="25"/>
        <v/>
      </c>
      <c r="K829" s="335"/>
      <c r="L829" s="336"/>
      <c r="M829" s="338"/>
    </row>
    <row r="830" spans="2:13">
      <c r="B830" s="271"/>
      <c r="C830" s="271"/>
      <c r="D830" s="271"/>
      <c r="E830" s="271"/>
      <c r="F830" s="271"/>
      <c r="G830" s="271"/>
      <c r="H830" s="271"/>
      <c r="I830" s="334" t="str">
        <f t="shared" si="24"/>
        <v/>
      </c>
      <c r="J830" s="270" t="str">
        <f t="shared" si="25"/>
        <v/>
      </c>
      <c r="K830" s="335"/>
      <c r="L830" s="336"/>
      <c r="M830" s="338"/>
    </row>
    <row r="831" spans="2:13">
      <c r="B831" s="271"/>
      <c r="C831" s="271"/>
      <c r="D831" s="271"/>
      <c r="E831" s="271"/>
      <c r="F831" s="271"/>
      <c r="G831" s="271"/>
      <c r="H831" s="271"/>
      <c r="I831" s="334" t="str">
        <f t="shared" si="24"/>
        <v/>
      </c>
      <c r="J831" s="270" t="str">
        <f t="shared" si="25"/>
        <v/>
      </c>
      <c r="K831" s="335"/>
      <c r="L831" s="336"/>
      <c r="M831" s="338"/>
    </row>
    <row r="832" spans="2:13">
      <c r="B832" s="271"/>
      <c r="C832" s="271"/>
      <c r="D832" s="271"/>
      <c r="E832" s="271"/>
      <c r="F832" s="271"/>
      <c r="G832" s="271"/>
      <c r="H832" s="271"/>
      <c r="I832" s="334" t="str">
        <f t="shared" si="24"/>
        <v/>
      </c>
      <c r="J832" s="270" t="str">
        <f t="shared" si="25"/>
        <v/>
      </c>
      <c r="K832" s="335"/>
      <c r="L832" s="336"/>
      <c r="M832" s="338"/>
    </row>
    <row r="833" spans="2:13">
      <c r="B833" s="271"/>
      <c r="C833" s="271"/>
      <c r="D833" s="271"/>
      <c r="E833" s="271"/>
      <c r="F833" s="271"/>
      <c r="G833" s="271"/>
      <c r="H833" s="271"/>
      <c r="I833" s="334" t="str">
        <f t="shared" si="24"/>
        <v/>
      </c>
      <c r="J833" s="270" t="str">
        <f t="shared" si="25"/>
        <v/>
      </c>
      <c r="K833" s="335"/>
      <c r="L833" s="336"/>
      <c r="M833" s="338"/>
    </row>
    <row r="834" spans="2:13">
      <c r="B834" s="271"/>
      <c r="C834" s="271"/>
      <c r="D834" s="271"/>
      <c r="E834" s="271"/>
      <c r="F834" s="271"/>
      <c r="G834" s="271"/>
      <c r="H834" s="271"/>
      <c r="I834" s="334" t="str">
        <f t="shared" si="24"/>
        <v/>
      </c>
      <c r="J834" s="270" t="str">
        <f t="shared" si="25"/>
        <v/>
      </c>
      <c r="K834" s="335"/>
      <c r="L834" s="336"/>
      <c r="M834" s="338"/>
    </row>
    <row r="835" spans="2:13">
      <c r="B835" s="271"/>
      <c r="C835" s="271"/>
      <c r="D835" s="271"/>
      <c r="E835" s="271"/>
      <c r="F835" s="271"/>
      <c r="G835" s="271"/>
      <c r="H835" s="271"/>
      <c r="I835" s="334" t="str">
        <f t="shared" si="24"/>
        <v/>
      </c>
      <c r="J835" s="270" t="str">
        <f t="shared" si="25"/>
        <v/>
      </c>
      <c r="K835" s="335"/>
      <c r="L835" s="336"/>
      <c r="M835" s="338"/>
    </row>
    <row r="836" spans="2:13">
      <c r="B836" s="271"/>
      <c r="C836" s="271"/>
      <c r="D836" s="271"/>
      <c r="E836" s="271"/>
      <c r="F836" s="271"/>
      <c r="G836" s="271"/>
      <c r="H836" s="271"/>
      <c r="I836" s="334" t="str">
        <f t="shared" si="24"/>
        <v/>
      </c>
      <c r="J836" s="270" t="str">
        <f t="shared" si="25"/>
        <v/>
      </c>
      <c r="K836" s="335"/>
      <c r="L836" s="336"/>
      <c r="M836" s="338"/>
    </row>
    <row r="837" spans="2:13">
      <c r="B837" s="271"/>
      <c r="C837" s="271"/>
      <c r="D837" s="271"/>
      <c r="E837" s="271"/>
      <c r="F837" s="271"/>
      <c r="G837" s="271"/>
      <c r="H837" s="271"/>
      <c r="I837" s="334" t="str">
        <f t="shared" si="24"/>
        <v/>
      </c>
      <c r="J837" s="270" t="str">
        <f t="shared" si="25"/>
        <v/>
      </c>
      <c r="K837" s="335"/>
      <c r="L837" s="336"/>
      <c r="M837" s="338"/>
    </row>
    <row r="838" spans="2:13">
      <c r="B838" s="271"/>
      <c r="C838" s="271"/>
      <c r="D838" s="271"/>
      <c r="E838" s="271"/>
      <c r="F838" s="271"/>
      <c r="G838" s="271"/>
      <c r="H838" s="271"/>
      <c r="I838" s="334" t="str">
        <f t="shared" si="24"/>
        <v/>
      </c>
      <c r="J838" s="270" t="str">
        <f t="shared" si="25"/>
        <v/>
      </c>
      <c r="K838" s="335"/>
      <c r="L838" s="336"/>
      <c r="M838" s="338"/>
    </row>
    <row r="839" spans="2:13">
      <c r="B839" s="271"/>
      <c r="C839" s="271"/>
      <c r="D839" s="271"/>
      <c r="E839" s="271"/>
      <c r="F839" s="271"/>
      <c r="G839" s="271"/>
      <c r="H839" s="271"/>
      <c r="I839" s="334" t="str">
        <f t="shared" si="24"/>
        <v/>
      </c>
      <c r="J839" s="270" t="str">
        <f t="shared" si="25"/>
        <v/>
      </c>
      <c r="K839" s="335"/>
      <c r="L839" s="336"/>
      <c r="M839" s="338"/>
    </row>
    <row r="840" spans="2:13">
      <c r="B840" s="271"/>
      <c r="C840" s="271"/>
      <c r="D840" s="271"/>
      <c r="E840" s="271"/>
      <c r="F840" s="271"/>
      <c r="G840" s="271"/>
      <c r="H840" s="271"/>
      <c r="I840" s="334" t="str">
        <f t="shared" si="24"/>
        <v/>
      </c>
      <c r="J840" s="270" t="str">
        <f t="shared" si="25"/>
        <v/>
      </c>
      <c r="K840" s="335"/>
      <c r="L840" s="336"/>
      <c r="M840" s="338"/>
    </row>
    <row r="841" spans="2:13">
      <c r="B841" s="271"/>
      <c r="C841" s="271"/>
      <c r="D841" s="271"/>
      <c r="E841" s="271"/>
      <c r="F841" s="271"/>
      <c r="G841" s="271"/>
      <c r="H841" s="271"/>
      <c r="I841" s="334" t="str">
        <f t="shared" si="24"/>
        <v/>
      </c>
      <c r="J841" s="270" t="str">
        <f t="shared" si="25"/>
        <v/>
      </c>
      <c r="K841" s="335"/>
      <c r="L841" s="336"/>
      <c r="M841" s="338"/>
    </row>
    <row r="842" spans="2:13">
      <c r="B842" s="271"/>
      <c r="C842" s="271"/>
      <c r="D842" s="271"/>
      <c r="E842" s="271"/>
      <c r="F842" s="271"/>
      <c r="G842" s="271"/>
      <c r="H842" s="271"/>
      <c r="I842" s="334" t="str">
        <f t="shared" si="24"/>
        <v/>
      </c>
      <c r="J842" s="270" t="str">
        <f t="shared" si="25"/>
        <v/>
      </c>
      <c r="K842" s="335"/>
      <c r="L842" s="336"/>
      <c r="M842" s="338"/>
    </row>
    <row r="843" spans="2:13">
      <c r="B843" s="271"/>
      <c r="C843" s="271"/>
      <c r="D843" s="271"/>
      <c r="E843" s="271"/>
      <c r="F843" s="271"/>
      <c r="G843" s="271"/>
      <c r="H843" s="271"/>
      <c r="I843" s="334" t="str">
        <f t="shared" si="24"/>
        <v/>
      </c>
      <c r="J843" s="270" t="str">
        <f t="shared" si="25"/>
        <v/>
      </c>
      <c r="K843" s="335"/>
      <c r="L843" s="336"/>
      <c r="M843" s="338"/>
    </row>
    <row r="844" spans="2:13">
      <c r="B844" s="271"/>
      <c r="C844" s="271"/>
      <c r="D844" s="271"/>
      <c r="E844" s="271"/>
      <c r="F844" s="271"/>
      <c r="G844" s="271"/>
      <c r="H844" s="271"/>
      <c r="I844" s="334" t="str">
        <f t="shared" si="24"/>
        <v/>
      </c>
      <c r="J844" s="270" t="str">
        <f t="shared" si="25"/>
        <v/>
      </c>
      <c r="K844" s="335"/>
      <c r="L844" s="336"/>
      <c r="M844" s="338"/>
    </row>
    <row r="845" spans="2:13">
      <c r="B845" s="271"/>
      <c r="C845" s="271"/>
      <c r="D845" s="271"/>
      <c r="E845" s="271"/>
      <c r="F845" s="271"/>
      <c r="G845" s="271"/>
      <c r="H845" s="271"/>
      <c r="I845" s="334" t="str">
        <f t="shared" si="24"/>
        <v/>
      </c>
      <c r="J845" s="270" t="str">
        <f t="shared" si="25"/>
        <v/>
      </c>
      <c r="K845" s="335"/>
      <c r="L845" s="336"/>
      <c r="M845" s="338"/>
    </row>
    <row r="846" spans="2:13">
      <c r="B846" s="271"/>
      <c r="C846" s="271"/>
      <c r="D846" s="271"/>
      <c r="E846" s="271"/>
      <c r="F846" s="271"/>
      <c r="G846" s="271"/>
      <c r="H846" s="271"/>
      <c r="I846" s="334" t="str">
        <f t="shared" ref="I846:I909" si="26">IF(H846="Large","NRS",IF(H846="International","FRS",IF(H846="SME - Medium","SME",IF(H846="SME - Micro","SME",IF(H846="SME - Small","SME","")))))</f>
        <v/>
      </c>
      <c r="J846" s="270" t="str">
        <f t="shared" ref="J846:J909" si="27">IF(B846="","","No")</f>
        <v/>
      </c>
      <c r="K846" s="335"/>
      <c r="L846" s="336"/>
      <c r="M846" s="338"/>
    </row>
    <row r="847" spans="2:13">
      <c r="B847" s="271"/>
      <c r="C847" s="271"/>
      <c r="D847" s="271"/>
      <c r="E847" s="271"/>
      <c r="F847" s="271"/>
      <c r="G847" s="271"/>
      <c r="H847" s="271"/>
      <c r="I847" s="334" t="str">
        <f t="shared" si="26"/>
        <v/>
      </c>
      <c r="J847" s="270" t="str">
        <f t="shared" si="27"/>
        <v/>
      </c>
      <c r="K847" s="335"/>
      <c r="L847" s="336"/>
      <c r="M847" s="338"/>
    </row>
    <row r="848" spans="2:13">
      <c r="B848" s="271"/>
      <c r="C848" s="271"/>
      <c r="D848" s="271"/>
      <c r="E848" s="271"/>
      <c r="F848" s="271"/>
      <c r="G848" s="271"/>
      <c r="H848" s="271"/>
      <c r="I848" s="334" t="str">
        <f t="shared" si="26"/>
        <v/>
      </c>
      <c r="J848" s="270" t="str">
        <f t="shared" si="27"/>
        <v/>
      </c>
      <c r="K848" s="335"/>
      <c r="L848" s="336"/>
      <c r="M848" s="338"/>
    </row>
    <row r="849" spans="2:13">
      <c r="B849" s="271"/>
      <c r="C849" s="271"/>
      <c r="D849" s="271"/>
      <c r="E849" s="271"/>
      <c r="F849" s="271"/>
      <c r="G849" s="271"/>
      <c r="H849" s="271"/>
      <c r="I849" s="334" t="str">
        <f t="shared" si="26"/>
        <v/>
      </c>
      <c r="J849" s="270" t="str">
        <f t="shared" si="27"/>
        <v/>
      </c>
      <c r="K849" s="335"/>
      <c r="L849" s="336"/>
      <c r="M849" s="338"/>
    </row>
    <row r="850" spans="2:13">
      <c r="B850" s="271"/>
      <c r="C850" s="271"/>
      <c r="D850" s="271"/>
      <c r="E850" s="271"/>
      <c r="F850" s="271"/>
      <c r="G850" s="271"/>
      <c r="H850" s="271"/>
      <c r="I850" s="334" t="str">
        <f t="shared" si="26"/>
        <v/>
      </c>
      <c r="J850" s="270" t="str">
        <f t="shared" si="27"/>
        <v/>
      </c>
      <c r="K850" s="335"/>
      <c r="L850" s="336"/>
      <c r="M850" s="338"/>
    </row>
    <row r="851" spans="2:13">
      <c r="B851" s="271"/>
      <c r="C851" s="271"/>
      <c r="D851" s="271"/>
      <c r="E851" s="271"/>
      <c r="F851" s="271"/>
      <c r="G851" s="271"/>
      <c r="H851" s="271"/>
      <c r="I851" s="334" t="str">
        <f t="shared" si="26"/>
        <v/>
      </c>
      <c r="J851" s="270" t="str">
        <f t="shared" si="27"/>
        <v/>
      </c>
      <c r="K851" s="335"/>
      <c r="L851" s="336"/>
      <c r="M851" s="338"/>
    </row>
    <row r="852" spans="2:13">
      <c r="B852" s="271"/>
      <c r="C852" s="271"/>
      <c r="D852" s="271"/>
      <c r="E852" s="271"/>
      <c r="F852" s="271"/>
      <c r="G852" s="271"/>
      <c r="H852" s="271"/>
      <c r="I852" s="334" t="str">
        <f t="shared" si="26"/>
        <v/>
      </c>
      <c r="J852" s="270" t="str">
        <f t="shared" si="27"/>
        <v/>
      </c>
      <c r="K852" s="335"/>
      <c r="L852" s="336"/>
      <c r="M852" s="338"/>
    </row>
    <row r="853" spans="2:13">
      <c r="B853" s="271"/>
      <c r="C853" s="271"/>
      <c r="D853" s="271"/>
      <c r="E853" s="271"/>
      <c r="F853" s="271"/>
      <c r="G853" s="271"/>
      <c r="H853" s="271"/>
      <c r="I853" s="334" t="str">
        <f t="shared" si="26"/>
        <v/>
      </c>
      <c r="J853" s="270" t="str">
        <f t="shared" si="27"/>
        <v/>
      </c>
      <c r="K853" s="335"/>
      <c r="L853" s="336"/>
      <c r="M853" s="338"/>
    </row>
    <row r="854" spans="2:13">
      <c r="B854" s="271"/>
      <c r="C854" s="271"/>
      <c r="D854" s="271"/>
      <c r="E854" s="271"/>
      <c r="F854" s="271"/>
      <c r="G854" s="271"/>
      <c r="H854" s="271"/>
      <c r="I854" s="334" t="str">
        <f t="shared" si="26"/>
        <v/>
      </c>
      <c r="J854" s="270" t="str">
        <f t="shared" si="27"/>
        <v/>
      </c>
      <c r="K854" s="335"/>
      <c r="L854" s="336"/>
      <c r="M854" s="338"/>
    </row>
    <row r="855" spans="2:13">
      <c r="B855" s="271"/>
      <c r="C855" s="271"/>
      <c r="D855" s="271"/>
      <c r="E855" s="271"/>
      <c r="F855" s="271"/>
      <c r="G855" s="271"/>
      <c r="H855" s="271"/>
      <c r="I855" s="334" t="str">
        <f t="shared" si="26"/>
        <v/>
      </c>
      <c r="J855" s="270" t="str">
        <f t="shared" si="27"/>
        <v/>
      </c>
      <c r="K855" s="335"/>
      <c r="L855" s="336"/>
      <c r="M855" s="338"/>
    </row>
    <row r="856" spans="2:13">
      <c r="B856" s="271"/>
      <c r="C856" s="271"/>
      <c r="D856" s="271"/>
      <c r="E856" s="271"/>
      <c r="F856" s="271"/>
      <c r="G856" s="271"/>
      <c r="H856" s="271"/>
      <c r="I856" s="334" t="str">
        <f t="shared" si="26"/>
        <v/>
      </c>
      <c r="J856" s="270" t="str">
        <f t="shared" si="27"/>
        <v/>
      </c>
      <c r="K856" s="335"/>
      <c r="L856" s="336"/>
      <c r="M856" s="338"/>
    </row>
    <row r="857" spans="2:13">
      <c r="B857" s="271"/>
      <c r="C857" s="271"/>
      <c r="D857" s="271"/>
      <c r="E857" s="271"/>
      <c r="F857" s="271"/>
      <c r="G857" s="271"/>
      <c r="H857" s="271"/>
      <c r="I857" s="334" t="str">
        <f t="shared" si="26"/>
        <v/>
      </c>
      <c r="J857" s="270" t="str">
        <f t="shared" si="27"/>
        <v/>
      </c>
      <c r="K857" s="335"/>
      <c r="L857" s="336"/>
      <c r="M857" s="338"/>
    </row>
    <row r="858" spans="2:13">
      <c r="B858" s="271"/>
      <c r="C858" s="271"/>
      <c r="D858" s="271"/>
      <c r="E858" s="271"/>
      <c r="F858" s="271"/>
      <c r="G858" s="271"/>
      <c r="H858" s="271"/>
      <c r="I858" s="334" t="str">
        <f t="shared" si="26"/>
        <v/>
      </c>
      <c r="J858" s="270" t="str">
        <f t="shared" si="27"/>
        <v/>
      </c>
      <c r="K858" s="335"/>
      <c r="L858" s="336"/>
      <c r="M858" s="338"/>
    </row>
    <row r="859" spans="2:13">
      <c r="B859" s="271"/>
      <c r="C859" s="271"/>
      <c r="D859" s="271"/>
      <c r="E859" s="271"/>
      <c r="F859" s="271"/>
      <c r="G859" s="271"/>
      <c r="H859" s="271"/>
      <c r="I859" s="334" t="str">
        <f t="shared" si="26"/>
        <v/>
      </c>
      <c r="J859" s="270" t="str">
        <f t="shared" si="27"/>
        <v/>
      </c>
      <c r="K859" s="335"/>
      <c r="L859" s="336"/>
      <c r="M859" s="338"/>
    </row>
    <row r="860" spans="2:13">
      <c r="B860" s="271"/>
      <c r="C860" s="271"/>
      <c r="D860" s="271"/>
      <c r="E860" s="271"/>
      <c r="F860" s="271"/>
      <c r="G860" s="271"/>
      <c r="H860" s="271"/>
      <c r="I860" s="334" t="str">
        <f t="shared" si="26"/>
        <v/>
      </c>
      <c r="J860" s="270" t="str">
        <f t="shared" si="27"/>
        <v/>
      </c>
      <c r="K860" s="335"/>
      <c r="L860" s="336"/>
      <c r="M860" s="338"/>
    </row>
    <row r="861" spans="2:13">
      <c r="B861" s="271"/>
      <c r="C861" s="271"/>
      <c r="D861" s="271"/>
      <c r="E861" s="271"/>
      <c r="F861" s="271"/>
      <c r="G861" s="271"/>
      <c r="H861" s="271"/>
      <c r="I861" s="334" t="str">
        <f t="shared" si="26"/>
        <v/>
      </c>
      <c r="J861" s="270" t="str">
        <f t="shared" si="27"/>
        <v/>
      </c>
      <c r="K861" s="335"/>
      <c r="L861" s="336"/>
      <c r="M861" s="338"/>
    </row>
    <row r="862" spans="2:13">
      <c r="B862" s="271"/>
      <c r="C862" s="271"/>
      <c r="D862" s="271"/>
      <c r="E862" s="271"/>
      <c r="F862" s="271"/>
      <c r="G862" s="271"/>
      <c r="H862" s="271"/>
      <c r="I862" s="334" t="str">
        <f t="shared" si="26"/>
        <v/>
      </c>
      <c r="J862" s="270" t="str">
        <f t="shared" si="27"/>
        <v/>
      </c>
      <c r="K862" s="335"/>
      <c r="L862" s="336"/>
      <c r="M862" s="338"/>
    </row>
    <row r="863" spans="2:13">
      <c r="B863" s="271"/>
      <c r="C863" s="271"/>
      <c r="D863" s="271"/>
      <c r="E863" s="271"/>
      <c r="F863" s="271"/>
      <c r="G863" s="271"/>
      <c r="H863" s="271"/>
      <c r="I863" s="334" t="str">
        <f t="shared" si="26"/>
        <v/>
      </c>
      <c r="J863" s="270" t="str">
        <f t="shared" si="27"/>
        <v/>
      </c>
      <c r="K863" s="335"/>
      <c r="L863" s="336"/>
      <c r="M863" s="338"/>
    </row>
    <row r="864" spans="2:13">
      <c r="B864" s="271"/>
      <c r="C864" s="271"/>
      <c r="D864" s="271"/>
      <c r="E864" s="271"/>
      <c r="F864" s="271"/>
      <c r="G864" s="271"/>
      <c r="H864" s="271"/>
      <c r="I864" s="334" t="str">
        <f t="shared" si="26"/>
        <v/>
      </c>
      <c r="J864" s="270" t="str">
        <f t="shared" si="27"/>
        <v/>
      </c>
      <c r="K864" s="335"/>
      <c r="L864" s="336"/>
      <c r="M864" s="338"/>
    </row>
    <row r="865" spans="2:13">
      <c r="B865" s="271"/>
      <c r="C865" s="271"/>
      <c r="D865" s="271"/>
      <c r="E865" s="271"/>
      <c r="F865" s="271"/>
      <c r="G865" s="271"/>
      <c r="H865" s="271"/>
      <c r="I865" s="334" t="str">
        <f t="shared" si="26"/>
        <v/>
      </c>
      <c r="J865" s="270" t="str">
        <f t="shared" si="27"/>
        <v/>
      </c>
      <c r="K865" s="335"/>
      <c r="L865" s="336"/>
      <c r="M865" s="338"/>
    </row>
    <row r="866" spans="2:13">
      <c r="B866" s="271"/>
      <c r="C866" s="271"/>
      <c r="D866" s="271"/>
      <c r="E866" s="271"/>
      <c r="F866" s="271"/>
      <c r="G866" s="271"/>
      <c r="H866" s="271"/>
      <c r="I866" s="334" t="str">
        <f t="shared" si="26"/>
        <v/>
      </c>
      <c r="J866" s="270" t="str">
        <f t="shared" si="27"/>
        <v/>
      </c>
      <c r="K866" s="335"/>
      <c r="L866" s="336"/>
      <c r="M866" s="338"/>
    </row>
    <row r="867" spans="2:13">
      <c r="B867" s="271"/>
      <c r="C867" s="271"/>
      <c r="D867" s="271"/>
      <c r="E867" s="271"/>
      <c r="F867" s="271"/>
      <c r="G867" s="271"/>
      <c r="H867" s="271"/>
      <c r="I867" s="334" t="str">
        <f t="shared" si="26"/>
        <v/>
      </c>
      <c r="J867" s="270" t="str">
        <f t="shared" si="27"/>
        <v/>
      </c>
      <c r="K867" s="335"/>
      <c r="L867" s="336"/>
      <c r="M867" s="338"/>
    </row>
    <row r="868" spans="2:13">
      <c r="B868" s="271"/>
      <c r="C868" s="271"/>
      <c r="D868" s="271"/>
      <c r="E868" s="271"/>
      <c r="F868" s="271"/>
      <c r="G868" s="271"/>
      <c r="H868" s="271"/>
      <c r="I868" s="334" t="str">
        <f t="shared" si="26"/>
        <v/>
      </c>
      <c r="J868" s="270" t="str">
        <f t="shared" si="27"/>
        <v/>
      </c>
      <c r="K868" s="335"/>
      <c r="L868" s="336"/>
      <c r="M868" s="338"/>
    </row>
    <row r="869" spans="2:13">
      <c r="B869" s="271"/>
      <c r="C869" s="271"/>
      <c r="D869" s="271"/>
      <c r="E869" s="271"/>
      <c r="F869" s="271"/>
      <c r="G869" s="271"/>
      <c r="H869" s="271"/>
      <c r="I869" s="334" t="str">
        <f t="shared" si="26"/>
        <v/>
      </c>
      <c r="J869" s="270" t="str">
        <f t="shared" si="27"/>
        <v/>
      </c>
      <c r="K869" s="335"/>
      <c r="L869" s="336"/>
      <c r="M869" s="338"/>
    </row>
    <row r="870" spans="2:13">
      <c r="B870" s="271"/>
      <c r="C870" s="271"/>
      <c r="D870" s="271"/>
      <c r="E870" s="271"/>
      <c r="F870" s="271"/>
      <c r="G870" s="271"/>
      <c r="H870" s="271"/>
      <c r="I870" s="334" t="str">
        <f t="shared" si="26"/>
        <v/>
      </c>
      <c r="J870" s="270" t="str">
        <f t="shared" si="27"/>
        <v/>
      </c>
      <c r="K870" s="335"/>
      <c r="L870" s="336"/>
      <c r="M870" s="338"/>
    </row>
    <row r="871" spans="2:13">
      <c r="B871" s="271"/>
      <c r="C871" s="271"/>
      <c r="D871" s="271"/>
      <c r="E871" s="271"/>
      <c r="F871" s="271"/>
      <c r="G871" s="271"/>
      <c r="H871" s="271"/>
      <c r="I871" s="334" t="str">
        <f t="shared" si="26"/>
        <v/>
      </c>
      <c r="J871" s="270" t="str">
        <f t="shared" si="27"/>
        <v/>
      </c>
      <c r="K871" s="335"/>
      <c r="L871" s="336"/>
      <c r="M871" s="338"/>
    </row>
    <row r="872" spans="2:13">
      <c r="B872" s="271"/>
      <c r="C872" s="271"/>
      <c r="D872" s="271"/>
      <c r="E872" s="271"/>
      <c r="F872" s="271"/>
      <c r="G872" s="271"/>
      <c r="H872" s="271"/>
      <c r="I872" s="334" t="str">
        <f t="shared" si="26"/>
        <v/>
      </c>
      <c r="J872" s="270" t="str">
        <f t="shared" si="27"/>
        <v/>
      </c>
      <c r="K872" s="335"/>
      <c r="L872" s="336"/>
      <c r="M872" s="338"/>
    </row>
    <row r="873" spans="2:13">
      <c r="B873" s="271"/>
      <c r="C873" s="271"/>
      <c r="D873" s="271"/>
      <c r="E873" s="271"/>
      <c r="F873" s="271"/>
      <c r="G873" s="271"/>
      <c r="H873" s="271"/>
      <c r="I873" s="334" t="str">
        <f t="shared" si="26"/>
        <v/>
      </c>
      <c r="J873" s="270" t="str">
        <f t="shared" si="27"/>
        <v/>
      </c>
      <c r="K873" s="335"/>
      <c r="L873" s="336"/>
      <c r="M873" s="338"/>
    </row>
    <row r="874" spans="2:13">
      <c r="B874" s="271"/>
      <c r="C874" s="271"/>
      <c r="D874" s="271"/>
      <c r="E874" s="271"/>
      <c r="F874" s="271"/>
      <c r="G874" s="271"/>
      <c r="H874" s="271"/>
      <c r="I874" s="334" t="str">
        <f t="shared" si="26"/>
        <v/>
      </c>
      <c r="J874" s="270" t="str">
        <f t="shared" si="27"/>
        <v/>
      </c>
      <c r="K874" s="335"/>
      <c r="L874" s="336"/>
      <c r="M874" s="338"/>
    </row>
    <row r="875" spans="2:13">
      <c r="B875" s="271"/>
      <c r="C875" s="271"/>
      <c r="D875" s="271"/>
      <c r="E875" s="271"/>
      <c r="F875" s="271"/>
      <c r="G875" s="271"/>
      <c r="H875" s="271"/>
      <c r="I875" s="334" t="str">
        <f t="shared" si="26"/>
        <v/>
      </c>
      <c r="J875" s="270" t="str">
        <f t="shared" si="27"/>
        <v/>
      </c>
      <c r="K875" s="335"/>
      <c r="L875" s="336"/>
      <c r="M875" s="338"/>
    </row>
    <row r="876" spans="2:13">
      <c r="B876" s="271"/>
      <c r="C876" s="271"/>
      <c r="D876" s="271"/>
      <c r="E876" s="271"/>
      <c r="F876" s="271"/>
      <c r="G876" s="271"/>
      <c r="H876" s="271"/>
      <c r="I876" s="334" t="str">
        <f t="shared" si="26"/>
        <v/>
      </c>
      <c r="J876" s="270" t="str">
        <f t="shared" si="27"/>
        <v/>
      </c>
      <c r="K876" s="335"/>
      <c r="L876" s="336"/>
      <c r="M876" s="338"/>
    </row>
    <row r="877" spans="2:13">
      <c r="B877" s="271"/>
      <c r="C877" s="271"/>
      <c r="D877" s="271"/>
      <c r="E877" s="271"/>
      <c r="F877" s="271"/>
      <c r="G877" s="271"/>
      <c r="H877" s="271"/>
      <c r="I877" s="334" t="str">
        <f t="shared" si="26"/>
        <v/>
      </c>
      <c r="J877" s="270" t="str">
        <f t="shared" si="27"/>
        <v/>
      </c>
      <c r="K877" s="335"/>
      <c r="L877" s="336"/>
      <c r="M877" s="338"/>
    </row>
    <row r="878" spans="2:13">
      <c r="B878" s="271"/>
      <c r="C878" s="271"/>
      <c r="D878" s="271"/>
      <c r="E878" s="271"/>
      <c r="F878" s="271"/>
      <c r="G878" s="271"/>
      <c r="H878" s="271"/>
      <c r="I878" s="334" t="str">
        <f t="shared" si="26"/>
        <v/>
      </c>
      <c r="J878" s="270" t="str">
        <f t="shared" si="27"/>
        <v/>
      </c>
      <c r="K878" s="335"/>
      <c r="L878" s="336"/>
      <c r="M878" s="338"/>
    </row>
    <row r="879" spans="2:13">
      <c r="B879" s="271"/>
      <c r="C879" s="271"/>
      <c r="D879" s="271"/>
      <c r="E879" s="271"/>
      <c r="F879" s="271"/>
      <c r="G879" s="271"/>
      <c r="H879" s="271"/>
      <c r="I879" s="334" t="str">
        <f t="shared" si="26"/>
        <v/>
      </c>
      <c r="J879" s="270" t="str">
        <f t="shared" si="27"/>
        <v/>
      </c>
      <c r="K879" s="335"/>
      <c r="L879" s="336"/>
      <c r="M879" s="338"/>
    </row>
    <row r="880" spans="2:13">
      <c r="B880" s="271"/>
      <c r="C880" s="271"/>
      <c r="D880" s="271"/>
      <c r="E880" s="271"/>
      <c r="F880" s="271"/>
      <c r="G880" s="271"/>
      <c r="H880" s="271"/>
      <c r="I880" s="334" t="str">
        <f t="shared" si="26"/>
        <v/>
      </c>
      <c r="J880" s="270" t="str">
        <f t="shared" si="27"/>
        <v/>
      </c>
      <c r="K880" s="335"/>
      <c r="L880" s="336"/>
      <c r="M880" s="338"/>
    </row>
    <row r="881" spans="2:13">
      <c r="B881" s="271"/>
      <c r="C881" s="271"/>
      <c r="D881" s="271"/>
      <c r="E881" s="271"/>
      <c r="F881" s="271"/>
      <c r="G881" s="271"/>
      <c r="H881" s="271"/>
      <c r="I881" s="334" t="str">
        <f t="shared" si="26"/>
        <v/>
      </c>
      <c r="J881" s="270" t="str">
        <f t="shared" si="27"/>
        <v/>
      </c>
      <c r="K881" s="335"/>
      <c r="L881" s="336"/>
      <c r="M881" s="338"/>
    </row>
    <row r="882" spans="2:13">
      <c r="B882" s="271"/>
      <c r="C882" s="271"/>
      <c r="D882" s="271"/>
      <c r="E882" s="271"/>
      <c r="F882" s="271"/>
      <c r="G882" s="271"/>
      <c r="H882" s="271"/>
      <c r="I882" s="334" t="str">
        <f t="shared" si="26"/>
        <v/>
      </c>
      <c r="J882" s="270" t="str">
        <f t="shared" si="27"/>
        <v/>
      </c>
      <c r="K882" s="335"/>
      <c r="L882" s="336"/>
      <c r="M882" s="338"/>
    </row>
    <row r="883" spans="2:13">
      <c r="B883" s="271"/>
      <c r="C883" s="271"/>
      <c r="D883" s="271"/>
      <c r="E883" s="271"/>
      <c r="F883" s="271"/>
      <c r="G883" s="271"/>
      <c r="H883" s="271"/>
      <c r="I883" s="334" t="str">
        <f t="shared" si="26"/>
        <v/>
      </c>
      <c r="J883" s="270" t="str">
        <f t="shared" si="27"/>
        <v/>
      </c>
      <c r="K883" s="335"/>
      <c r="L883" s="336"/>
      <c r="M883" s="338"/>
    </row>
    <row r="884" spans="2:13">
      <c r="B884" s="271"/>
      <c r="C884" s="271"/>
      <c r="D884" s="271"/>
      <c r="E884" s="271"/>
      <c r="F884" s="271"/>
      <c r="G884" s="271"/>
      <c r="H884" s="271"/>
      <c r="I884" s="334" t="str">
        <f t="shared" si="26"/>
        <v/>
      </c>
      <c r="J884" s="270" t="str">
        <f t="shared" si="27"/>
        <v/>
      </c>
      <c r="K884" s="335"/>
      <c r="L884" s="336"/>
      <c r="M884" s="338"/>
    </row>
    <row r="885" spans="2:13">
      <c r="B885" s="271"/>
      <c r="C885" s="271"/>
      <c r="D885" s="271"/>
      <c r="E885" s="271"/>
      <c r="F885" s="271"/>
      <c r="G885" s="271"/>
      <c r="H885" s="271"/>
      <c r="I885" s="334" t="str">
        <f t="shared" si="26"/>
        <v/>
      </c>
      <c r="J885" s="270" t="str">
        <f t="shared" si="27"/>
        <v/>
      </c>
      <c r="K885" s="335"/>
      <c r="L885" s="336"/>
      <c r="M885" s="338"/>
    </row>
    <row r="886" spans="2:13">
      <c r="B886" s="271"/>
      <c r="C886" s="271"/>
      <c r="D886" s="271"/>
      <c r="E886" s="271"/>
      <c r="F886" s="271"/>
      <c r="G886" s="271"/>
      <c r="H886" s="271"/>
      <c r="I886" s="334" t="str">
        <f t="shared" si="26"/>
        <v/>
      </c>
      <c r="J886" s="270" t="str">
        <f t="shared" si="27"/>
        <v/>
      </c>
      <c r="K886" s="335"/>
      <c r="L886" s="336"/>
      <c r="M886" s="338"/>
    </row>
    <row r="887" spans="2:13">
      <c r="B887" s="271"/>
      <c r="C887" s="271"/>
      <c r="D887" s="271"/>
      <c r="E887" s="271"/>
      <c r="F887" s="271"/>
      <c r="G887" s="271"/>
      <c r="H887" s="271"/>
      <c r="I887" s="334" t="str">
        <f t="shared" si="26"/>
        <v/>
      </c>
      <c r="J887" s="270" t="str">
        <f t="shared" si="27"/>
        <v/>
      </c>
      <c r="K887" s="335"/>
      <c r="L887" s="336"/>
      <c r="M887" s="338"/>
    </row>
    <row r="888" spans="2:13">
      <c r="B888" s="271"/>
      <c r="C888" s="271"/>
      <c r="D888" s="271"/>
      <c r="E888" s="271"/>
      <c r="F888" s="271"/>
      <c r="G888" s="271"/>
      <c r="H888" s="271"/>
      <c r="I888" s="334" t="str">
        <f t="shared" si="26"/>
        <v/>
      </c>
      <c r="J888" s="270" t="str">
        <f t="shared" si="27"/>
        <v/>
      </c>
      <c r="K888" s="335"/>
      <c r="L888" s="336"/>
      <c r="M888" s="338"/>
    </row>
    <row r="889" spans="2:13">
      <c r="B889" s="271"/>
      <c r="C889" s="271"/>
      <c r="D889" s="271"/>
      <c r="E889" s="271"/>
      <c r="F889" s="271"/>
      <c r="G889" s="271"/>
      <c r="H889" s="271"/>
      <c r="I889" s="334" t="str">
        <f t="shared" si="26"/>
        <v/>
      </c>
      <c r="J889" s="270" t="str">
        <f t="shared" si="27"/>
        <v/>
      </c>
      <c r="K889" s="335"/>
      <c r="L889" s="336"/>
      <c r="M889" s="338"/>
    </row>
    <row r="890" spans="2:13">
      <c r="B890" s="271"/>
      <c r="C890" s="271"/>
      <c r="D890" s="271"/>
      <c r="E890" s="271"/>
      <c r="F890" s="271"/>
      <c r="G890" s="271"/>
      <c r="H890" s="271"/>
      <c r="I890" s="334" t="str">
        <f t="shared" si="26"/>
        <v/>
      </c>
      <c r="J890" s="270" t="str">
        <f t="shared" si="27"/>
        <v/>
      </c>
      <c r="K890" s="335"/>
      <c r="L890" s="336"/>
      <c r="M890" s="338"/>
    </row>
    <row r="891" spans="2:13">
      <c r="B891" s="271"/>
      <c r="C891" s="271"/>
      <c r="D891" s="271"/>
      <c r="E891" s="271"/>
      <c r="F891" s="271"/>
      <c r="G891" s="271"/>
      <c r="H891" s="271"/>
      <c r="I891" s="334" t="str">
        <f t="shared" si="26"/>
        <v/>
      </c>
      <c r="J891" s="270" t="str">
        <f t="shared" si="27"/>
        <v/>
      </c>
      <c r="K891" s="335"/>
      <c r="L891" s="336"/>
      <c r="M891" s="338"/>
    </row>
    <row r="892" spans="2:13">
      <c r="B892" s="271"/>
      <c r="C892" s="271"/>
      <c r="D892" s="271"/>
      <c r="E892" s="271"/>
      <c r="F892" s="271"/>
      <c r="G892" s="271"/>
      <c r="H892" s="271"/>
      <c r="I892" s="334" t="str">
        <f t="shared" si="26"/>
        <v/>
      </c>
      <c r="J892" s="270" t="str">
        <f t="shared" si="27"/>
        <v/>
      </c>
      <c r="K892" s="335"/>
      <c r="L892" s="336"/>
      <c r="M892" s="338"/>
    </row>
    <row r="893" spans="2:13">
      <c r="B893" s="271"/>
      <c r="C893" s="271"/>
      <c r="D893" s="271"/>
      <c r="E893" s="271"/>
      <c r="F893" s="271"/>
      <c r="G893" s="271"/>
      <c r="H893" s="271"/>
      <c r="I893" s="334" t="str">
        <f t="shared" si="26"/>
        <v/>
      </c>
      <c r="J893" s="270" t="str">
        <f t="shared" si="27"/>
        <v/>
      </c>
      <c r="K893" s="335"/>
      <c r="L893" s="336"/>
      <c r="M893" s="338"/>
    </row>
    <row r="894" spans="2:13">
      <c r="B894" s="271"/>
      <c r="C894" s="271"/>
      <c r="D894" s="271"/>
      <c r="E894" s="271"/>
      <c r="F894" s="271"/>
      <c r="G894" s="271"/>
      <c r="H894" s="271"/>
      <c r="I894" s="334" t="str">
        <f t="shared" si="26"/>
        <v/>
      </c>
      <c r="J894" s="270" t="str">
        <f t="shared" si="27"/>
        <v/>
      </c>
      <c r="K894" s="335"/>
      <c r="L894" s="336"/>
      <c r="M894" s="338"/>
    </row>
    <row r="895" spans="2:13">
      <c r="B895" s="271"/>
      <c r="C895" s="271"/>
      <c r="D895" s="271"/>
      <c r="E895" s="271"/>
      <c r="F895" s="271"/>
      <c r="G895" s="271"/>
      <c r="H895" s="271"/>
      <c r="I895" s="334" t="str">
        <f t="shared" si="26"/>
        <v/>
      </c>
      <c r="J895" s="270" t="str">
        <f t="shared" si="27"/>
        <v/>
      </c>
      <c r="K895" s="335"/>
      <c r="L895" s="336"/>
      <c r="M895" s="338"/>
    </row>
    <row r="896" spans="2:13">
      <c r="B896" s="271"/>
      <c r="C896" s="271"/>
      <c r="D896" s="271"/>
      <c r="E896" s="271"/>
      <c r="F896" s="271"/>
      <c r="G896" s="271"/>
      <c r="H896" s="271"/>
      <c r="I896" s="334" t="str">
        <f t="shared" si="26"/>
        <v/>
      </c>
      <c r="J896" s="270" t="str">
        <f t="shared" si="27"/>
        <v/>
      </c>
      <c r="K896" s="335"/>
      <c r="L896" s="336"/>
      <c r="M896" s="338"/>
    </row>
    <row r="897" spans="2:13">
      <c r="B897" s="271"/>
      <c r="C897" s="271"/>
      <c r="D897" s="271"/>
      <c r="E897" s="271"/>
      <c r="F897" s="271"/>
      <c r="G897" s="271"/>
      <c r="H897" s="271"/>
      <c r="I897" s="334" t="str">
        <f t="shared" si="26"/>
        <v/>
      </c>
      <c r="J897" s="270" t="str">
        <f t="shared" si="27"/>
        <v/>
      </c>
      <c r="K897" s="335"/>
      <c r="L897" s="336"/>
      <c r="M897" s="338"/>
    </row>
    <row r="898" spans="2:13">
      <c r="B898" s="271"/>
      <c r="C898" s="271"/>
      <c r="D898" s="271"/>
      <c r="E898" s="271"/>
      <c r="F898" s="271"/>
      <c r="G898" s="271"/>
      <c r="H898" s="271"/>
      <c r="I898" s="334" t="str">
        <f t="shared" si="26"/>
        <v/>
      </c>
      <c r="J898" s="270" t="str">
        <f t="shared" si="27"/>
        <v/>
      </c>
      <c r="K898" s="335"/>
      <c r="L898" s="336"/>
      <c r="M898" s="338"/>
    </row>
    <row r="899" spans="2:13">
      <c r="B899" s="271"/>
      <c r="C899" s="271"/>
      <c r="D899" s="271"/>
      <c r="E899" s="271"/>
      <c r="F899" s="271"/>
      <c r="G899" s="271"/>
      <c r="H899" s="271"/>
      <c r="I899" s="334" t="str">
        <f t="shared" si="26"/>
        <v/>
      </c>
      <c r="J899" s="270" t="str">
        <f t="shared" si="27"/>
        <v/>
      </c>
      <c r="K899" s="335"/>
      <c r="L899" s="336"/>
      <c r="M899" s="338"/>
    </row>
    <row r="900" spans="2:13">
      <c r="B900" s="271"/>
      <c r="C900" s="271"/>
      <c r="D900" s="271"/>
      <c r="E900" s="271"/>
      <c r="F900" s="271"/>
      <c r="G900" s="271"/>
      <c r="H900" s="271"/>
      <c r="I900" s="334" t="str">
        <f t="shared" si="26"/>
        <v/>
      </c>
      <c r="J900" s="270" t="str">
        <f t="shared" si="27"/>
        <v/>
      </c>
      <c r="K900" s="335"/>
      <c r="L900" s="336"/>
      <c r="M900" s="338"/>
    </row>
    <row r="901" spans="2:13">
      <c r="B901" s="271"/>
      <c r="C901" s="271"/>
      <c r="D901" s="271"/>
      <c r="E901" s="271"/>
      <c r="F901" s="271"/>
      <c r="G901" s="271"/>
      <c r="H901" s="271"/>
      <c r="I901" s="334" t="str">
        <f t="shared" si="26"/>
        <v/>
      </c>
      <c r="J901" s="270" t="str">
        <f t="shared" si="27"/>
        <v/>
      </c>
      <c r="K901" s="335"/>
      <c r="L901" s="336"/>
      <c r="M901" s="338"/>
    </row>
    <row r="902" spans="2:13">
      <c r="B902" s="271"/>
      <c r="C902" s="271"/>
      <c r="D902" s="271"/>
      <c r="E902" s="271"/>
      <c r="F902" s="271"/>
      <c r="G902" s="271"/>
      <c r="H902" s="271"/>
      <c r="I902" s="334" t="str">
        <f t="shared" si="26"/>
        <v/>
      </c>
      <c r="J902" s="270" t="str">
        <f t="shared" si="27"/>
        <v/>
      </c>
      <c r="K902" s="335"/>
      <c r="L902" s="336"/>
      <c r="M902" s="338"/>
    </row>
    <row r="903" spans="2:13">
      <c r="B903" s="271"/>
      <c r="C903" s="271"/>
      <c r="D903" s="271"/>
      <c r="E903" s="271"/>
      <c r="F903" s="271"/>
      <c r="G903" s="271"/>
      <c r="H903" s="271"/>
      <c r="I903" s="334" t="str">
        <f t="shared" si="26"/>
        <v/>
      </c>
      <c r="J903" s="270" t="str">
        <f t="shared" si="27"/>
        <v/>
      </c>
      <c r="K903" s="335"/>
      <c r="L903" s="336"/>
      <c r="M903" s="338"/>
    </row>
    <row r="904" spans="2:13">
      <c r="B904" s="271"/>
      <c r="C904" s="271"/>
      <c r="D904" s="271"/>
      <c r="E904" s="271"/>
      <c r="F904" s="271"/>
      <c r="G904" s="271"/>
      <c r="H904" s="271"/>
      <c r="I904" s="334" t="str">
        <f t="shared" si="26"/>
        <v/>
      </c>
      <c r="J904" s="270" t="str">
        <f t="shared" si="27"/>
        <v/>
      </c>
      <c r="K904" s="335"/>
      <c r="L904" s="336"/>
      <c r="M904" s="338"/>
    </row>
    <row r="905" spans="2:13">
      <c r="B905" s="271"/>
      <c r="C905" s="271"/>
      <c r="D905" s="271"/>
      <c r="E905" s="271"/>
      <c r="F905" s="271"/>
      <c r="G905" s="271"/>
      <c r="H905" s="271"/>
      <c r="I905" s="334" t="str">
        <f t="shared" si="26"/>
        <v/>
      </c>
      <c r="J905" s="270" t="str">
        <f t="shared" si="27"/>
        <v/>
      </c>
      <c r="K905" s="335"/>
      <c r="L905" s="336"/>
      <c r="M905" s="338"/>
    </row>
    <row r="906" spans="2:13">
      <c r="B906" s="271"/>
      <c r="C906" s="271"/>
      <c r="D906" s="271"/>
      <c r="E906" s="271"/>
      <c r="F906" s="271"/>
      <c r="G906" s="271"/>
      <c r="H906" s="271"/>
      <c r="I906" s="334" t="str">
        <f t="shared" si="26"/>
        <v/>
      </c>
      <c r="J906" s="270" t="str">
        <f t="shared" si="27"/>
        <v/>
      </c>
      <c r="K906" s="335"/>
      <c r="L906" s="336"/>
      <c r="M906" s="338"/>
    </row>
    <row r="907" spans="2:13">
      <c r="B907" s="271"/>
      <c r="C907" s="271"/>
      <c r="D907" s="271"/>
      <c r="E907" s="271"/>
      <c r="F907" s="271"/>
      <c r="G907" s="271"/>
      <c r="H907" s="271"/>
      <c r="I907" s="334" t="str">
        <f t="shared" si="26"/>
        <v/>
      </c>
      <c r="J907" s="270" t="str">
        <f t="shared" si="27"/>
        <v/>
      </c>
      <c r="K907" s="335"/>
      <c r="L907" s="336"/>
      <c r="M907" s="338"/>
    </row>
    <row r="908" spans="2:13">
      <c r="B908" s="271"/>
      <c r="C908" s="271"/>
      <c r="D908" s="271"/>
      <c r="E908" s="271"/>
      <c r="F908" s="271"/>
      <c r="G908" s="271"/>
      <c r="H908" s="271"/>
      <c r="I908" s="334" t="str">
        <f t="shared" si="26"/>
        <v/>
      </c>
      <c r="J908" s="270" t="str">
        <f t="shared" si="27"/>
        <v/>
      </c>
      <c r="K908" s="335"/>
      <c r="L908" s="336"/>
      <c r="M908" s="338"/>
    </row>
    <row r="909" spans="2:13">
      <c r="B909" s="271"/>
      <c r="C909" s="271"/>
      <c r="D909" s="271"/>
      <c r="E909" s="271"/>
      <c r="F909" s="271"/>
      <c r="G909" s="271"/>
      <c r="H909" s="271"/>
      <c r="I909" s="334" t="str">
        <f t="shared" si="26"/>
        <v/>
      </c>
      <c r="J909" s="270" t="str">
        <f t="shared" si="27"/>
        <v/>
      </c>
      <c r="K909" s="335"/>
      <c r="L909" s="336"/>
      <c r="M909" s="338"/>
    </row>
    <row r="910" spans="2:13">
      <c r="B910" s="271"/>
      <c r="C910" s="271"/>
      <c r="D910" s="271"/>
      <c r="E910" s="271"/>
      <c r="F910" s="271"/>
      <c r="G910" s="271"/>
      <c r="H910" s="271"/>
      <c r="I910" s="334" t="str">
        <f t="shared" ref="I910:I973" si="28">IF(H910="Large","NRS",IF(H910="International","FRS",IF(H910="SME - Medium","SME",IF(H910="SME - Micro","SME",IF(H910="SME - Small","SME","")))))</f>
        <v/>
      </c>
      <c r="J910" s="270" t="str">
        <f t="shared" ref="J910:J973" si="29">IF(B910="","","No")</f>
        <v/>
      </c>
      <c r="K910" s="335"/>
      <c r="L910" s="336"/>
      <c r="M910" s="338"/>
    </row>
    <row r="911" spans="2:13">
      <c r="B911" s="271"/>
      <c r="C911" s="271"/>
      <c r="D911" s="271"/>
      <c r="E911" s="271"/>
      <c r="F911" s="271"/>
      <c r="G911" s="271"/>
      <c r="H911" s="271"/>
      <c r="I911" s="334" t="str">
        <f t="shared" si="28"/>
        <v/>
      </c>
      <c r="J911" s="270" t="str">
        <f t="shared" si="29"/>
        <v/>
      </c>
      <c r="K911" s="335"/>
      <c r="L911" s="336"/>
      <c r="M911" s="338"/>
    </row>
    <row r="912" spans="2:13">
      <c r="B912" s="271"/>
      <c r="C912" s="271"/>
      <c r="D912" s="271"/>
      <c r="E912" s="271"/>
      <c r="F912" s="271"/>
      <c r="G912" s="271"/>
      <c r="H912" s="271"/>
      <c r="I912" s="334" t="str">
        <f t="shared" si="28"/>
        <v/>
      </c>
      <c r="J912" s="270" t="str">
        <f t="shared" si="29"/>
        <v/>
      </c>
      <c r="K912" s="335"/>
      <c r="L912" s="336"/>
      <c r="M912" s="338"/>
    </row>
    <row r="913" spans="2:13">
      <c r="B913" s="271"/>
      <c r="C913" s="271"/>
      <c r="D913" s="271"/>
      <c r="E913" s="271"/>
      <c r="F913" s="271"/>
      <c r="G913" s="271"/>
      <c r="H913" s="271"/>
      <c r="I913" s="334" t="str">
        <f t="shared" si="28"/>
        <v/>
      </c>
      <c r="J913" s="270" t="str">
        <f t="shared" si="29"/>
        <v/>
      </c>
      <c r="K913" s="335"/>
      <c r="L913" s="336"/>
      <c r="M913" s="338"/>
    </row>
    <row r="914" spans="2:13">
      <c r="B914" s="271"/>
      <c r="C914" s="271"/>
      <c r="D914" s="271"/>
      <c r="E914" s="271"/>
      <c r="F914" s="271"/>
      <c r="G914" s="271"/>
      <c r="H914" s="271"/>
      <c r="I914" s="334" t="str">
        <f t="shared" si="28"/>
        <v/>
      </c>
      <c r="J914" s="270" t="str">
        <f t="shared" si="29"/>
        <v/>
      </c>
      <c r="K914" s="335"/>
      <c r="L914" s="336"/>
      <c r="M914" s="338"/>
    </row>
    <row r="915" spans="2:13">
      <c r="B915" s="271"/>
      <c r="C915" s="271"/>
      <c r="D915" s="271"/>
      <c r="E915" s="271"/>
      <c r="F915" s="271"/>
      <c r="G915" s="271"/>
      <c r="H915" s="271"/>
      <c r="I915" s="334" t="str">
        <f t="shared" si="28"/>
        <v/>
      </c>
      <c r="J915" s="270" t="str">
        <f t="shared" si="29"/>
        <v/>
      </c>
      <c r="K915" s="335"/>
      <c r="L915" s="336"/>
      <c r="M915" s="338"/>
    </row>
    <row r="916" spans="2:13">
      <c r="B916" s="271"/>
      <c r="C916" s="271"/>
      <c r="D916" s="271"/>
      <c r="E916" s="271"/>
      <c r="F916" s="271"/>
      <c r="G916" s="271"/>
      <c r="H916" s="271"/>
      <c r="I916" s="334" t="str">
        <f t="shared" si="28"/>
        <v/>
      </c>
      <c r="J916" s="270" t="str">
        <f t="shared" si="29"/>
        <v/>
      </c>
      <c r="K916" s="335"/>
      <c r="L916" s="336"/>
      <c r="M916" s="338"/>
    </row>
    <row r="917" spans="2:13">
      <c r="B917" s="271"/>
      <c r="C917" s="271"/>
      <c r="D917" s="271"/>
      <c r="E917" s="271"/>
      <c r="F917" s="271"/>
      <c r="G917" s="271"/>
      <c r="H917" s="271"/>
      <c r="I917" s="334" t="str">
        <f t="shared" si="28"/>
        <v/>
      </c>
      <c r="J917" s="270" t="str">
        <f t="shared" si="29"/>
        <v/>
      </c>
      <c r="K917" s="335"/>
      <c r="L917" s="336"/>
      <c r="M917" s="338"/>
    </row>
    <row r="918" spans="2:13">
      <c r="B918" s="271"/>
      <c r="C918" s="271"/>
      <c r="D918" s="271"/>
      <c r="E918" s="271"/>
      <c r="F918" s="271"/>
      <c r="G918" s="271"/>
      <c r="H918" s="271"/>
      <c r="I918" s="334" t="str">
        <f t="shared" si="28"/>
        <v/>
      </c>
      <c r="J918" s="270" t="str">
        <f t="shared" si="29"/>
        <v/>
      </c>
      <c r="K918" s="335"/>
      <c r="L918" s="336"/>
      <c r="M918" s="338"/>
    </row>
    <row r="919" spans="2:13">
      <c r="B919" s="271"/>
      <c r="C919" s="271"/>
      <c r="D919" s="271"/>
      <c r="E919" s="271"/>
      <c r="F919" s="271"/>
      <c r="G919" s="271"/>
      <c r="H919" s="271"/>
      <c r="I919" s="334" t="str">
        <f t="shared" si="28"/>
        <v/>
      </c>
      <c r="J919" s="270" t="str">
        <f t="shared" si="29"/>
        <v/>
      </c>
      <c r="K919" s="335"/>
      <c r="L919" s="336"/>
      <c r="M919" s="338"/>
    </row>
    <row r="920" spans="2:13">
      <c r="B920" s="271"/>
      <c r="C920" s="271"/>
      <c r="D920" s="271"/>
      <c r="E920" s="271"/>
      <c r="F920" s="271"/>
      <c r="G920" s="271"/>
      <c r="H920" s="271"/>
      <c r="I920" s="334" t="str">
        <f t="shared" si="28"/>
        <v/>
      </c>
      <c r="J920" s="270" t="str">
        <f t="shared" si="29"/>
        <v/>
      </c>
      <c r="K920" s="335"/>
      <c r="L920" s="336"/>
      <c r="M920" s="338"/>
    </row>
    <row r="921" spans="2:13">
      <c r="B921" s="271"/>
      <c r="C921" s="271"/>
      <c r="D921" s="271"/>
      <c r="E921" s="271"/>
      <c r="F921" s="271"/>
      <c r="G921" s="271"/>
      <c r="H921" s="271"/>
      <c r="I921" s="334" t="str">
        <f t="shared" si="28"/>
        <v/>
      </c>
      <c r="J921" s="270" t="str">
        <f t="shared" si="29"/>
        <v/>
      </c>
      <c r="K921" s="335"/>
      <c r="L921" s="336"/>
      <c r="M921" s="338"/>
    </row>
    <row r="922" spans="2:13">
      <c r="B922" s="271"/>
      <c r="C922" s="271"/>
      <c r="D922" s="271"/>
      <c r="E922" s="271"/>
      <c r="F922" s="271"/>
      <c r="G922" s="271"/>
      <c r="H922" s="271"/>
      <c r="I922" s="334" t="str">
        <f t="shared" si="28"/>
        <v/>
      </c>
      <c r="J922" s="270" t="str">
        <f t="shared" si="29"/>
        <v/>
      </c>
      <c r="K922" s="335"/>
      <c r="L922" s="336"/>
      <c r="M922" s="338"/>
    </row>
    <row r="923" spans="2:13">
      <c r="B923" s="271"/>
      <c r="C923" s="271"/>
      <c r="D923" s="271"/>
      <c r="E923" s="271"/>
      <c r="F923" s="271"/>
      <c r="G923" s="271"/>
      <c r="H923" s="271"/>
      <c r="I923" s="334" t="str">
        <f t="shared" si="28"/>
        <v/>
      </c>
      <c r="J923" s="270" t="str">
        <f t="shared" si="29"/>
        <v/>
      </c>
      <c r="K923" s="335"/>
      <c r="L923" s="336"/>
      <c r="M923" s="338"/>
    </row>
    <row r="924" spans="2:13">
      <c r="B924" s="271"/>
      <c r="C924" s="271"/>
      <c r="D924" s="271"/>
      <c r="E924" s="271"/>
      <c r="F924" s="271"/>
      <c r="G924" s="271"/>
      <c r="H924" s="271"/>
      <c r="I924" s="334" t="str">
        <f t="shared" si="28"/>
        <v/>
      </c>
      <c r="J924" s="270" t="str">
        <f t="shared" si="29"/>
        <v/>
      </c>
      <c r="K924" s="335"/>
      <c r="L924" s="336"/>
      <c r="M924" s="338"/>
    </row>
    <row r="925" spans="2:13">
      <c r="B925" s="271"/>
      <c r="C925" s="271"/>
      <c r="D925" s="271"/>
      <c r="E925" s="271"/>
      <c r="F925" s="271"/>
      <c r="G925" s="271"/>
      <c r="H925" s="271"/>
      <c r="I925" s="334" t="str">
        <f t="shared" si="28"/>
        <v/>
      </c>
      <c r="J925" s="270" t="str">
        <f t="shared" si="29"/>
        <v/>
      </c>
      <c r="K925" s="335"/>
      <c r="L925" s="336"/>
      <c r="M925" s="338"/>
    </row>
    <row r="926" spans="2:13">
      <c r="B926" s="271"/>
      <c r="C926" s="271"/>
      <c r="D926" s="271"/>
      <c r="E926" s="271"/>
      <c r="F926" s="271"/>
      <c r="G926" s="271"/>
      <c r="H926" s="271"/>
      <c r="I926" s="334" t="str">
        <f t="shared" si="28"/>
        <v/>
      </c>
      <c r="J926" s="270" t="str">
        <f t="shared" si="29"/>
        <v/>
      </c>
      <c r="K926" s="335"/>
      <c r="L926" s="336"/>
      <c r="M926" s="338"/>
    </row>
    <row r="927" spans="2:13">
      <c r="B927" s="271"/>
      <c r="C927" s="271"/>
      <c r="D927" s="271"/>
      <c r="E927" s="271"/>
      <c r="F927" s="271"/>
      <c r="G927" s="271"/>
      <c r="H927" s="271"/>
      <c r="I927" s="334" t="str">
        <f t="shared" si="28"/>
        <v/>
      </c>
      <c r="J927" s="270" t="str">
        <f t="shared" si="29"/>
        <v/>
      </c>
      <c r="K927" s="335"/>
      <c r="L927" s="336"/>
      <c r="M927" s="338"/>
    </row>
    <row r="928" spans="2:13">
      <c r="B928" s="271"/>
      <c r="C928" s="271"/>
      <c r="D928" s="271"/>
      <c r="E928" s="271"/>
      <c r="F928" s="271"/>
      <c r="G928" s="271"/>
      <c r="H928" s="271"/>
      <c r="I928" s="334" t="str">
        <f t="shared" si="28"/>
        <v/>
      </c>
      <c r="J928" s="270" t="str">
        <f t="shared" si="29"/>
        <v/>
      </c>
      <c r="K928" s="335"/>
      <c r="L928" s="336"/>
      <c r="M928" s="338"/>
    </row>
    <row r="929" spans="2:13">
      <c r="B929" s="271"/>
      <c r="C929" s="271"/>
      <c r="D929" s="271"/>
      <c r="E929" s="271"/>
      <c r="F929" s="271"/>
      <c r="G929" s="271"/>
      <c r="H929" s="271"/>
      <c r="I929" s="334" t="str">
        <f t="shared" si="28"/>
        <v/>
      </c>
      <c r="J929" s="270" t="str">
        <f t="shared" si="29"/>
        <v/>
      </c>
      <c r="K929" s="335"/>
      <c r="L929" s="336"/>
      <c r="M929" s="338"/>
    </row>
    <row r="930" spans="2:13">
      <c r="B930" s="271"/>
      <c r="C930" s="271"/>
      <c r="D930" s="271"/>
      <c r="E930" s="271"/>
      <c r="F930" s="271"/>
      <c r="G930" s="271"/>
      <c r="H930" s="271"/>
      <c r="I930" s="334" t="str">
        <f t="shared" si="28"/>
        <v/>
      </c>
      <c r="J930" s="270" t="str">
        <f t="shared" si="29"/>
        <v/>
      </c>
      <c r="K930" s="335"/>
      <c r="L930" s="336"/>
      <c r="M930" s="338"/>
    </row>
    <row r="931" spans="2:13">
      <c r="B931" s="271"/>
      <c r="C931" s="271"/>
      <c r="D931" s="271"/>
      <c r="E931" s="271"/>
      <c r="F931" s="271"/>
      <c r="G931" s="271"/>
      <c r="H931" s="271"/>
      <c r="I931" s="334" t="str">
        <f t="shared" si="28"/>
        <v/>
      </c>
      <c r="J931" s="270" t="str">
        <f t="shared" si="29"/>
        <v/>
      </c>
      <c r="K931" s="335"/>
      <c r="L931" s="336"/>
      <c r="M931" s="338"/>
    </row>
    <row r="932" spans="2:13">
      <c r="B932" s="271"/>
      <c r="C932" s="271"/>
      <c r="D932" s="271"/>
      <c r="E932" s="271"/>
      <c r="F932" s="271"/>
      <c r="G932" s="271"/>
      <c r="H932" s="271"/>
      <c r="I932" s="334" t="str">
        <f t="shared" si="28"/>
        <v/>
      </c>
      <c r="J932" s="270" t="str">
        <f t="shared" si="29"/>
        <v/>
      </c>
      <c r="K932" s="335"/>
      <c r="L932" s="336"/>
      <c r="M932" s="338"/>
    </row>
    <row r="933" spans="2:13">
      <c r="B933" s="271"/>
      <c r="C933" s="271"/>
      <c r="D933" s="271"/>
      <c r="E933" s="271"/>
      <c r="F933" s="271"/>
      <c r="G933" s="271"/>
      <c r="H933" s="271"/>
      <c r="I933" s="334" t="str">
        <f t="shared" si="28"/>
        <v/>
      </c>
      <c r="J933" s="270" t="str">
        <f t="shared" si="29"/>
        <v/>
      </c>
      <c r="K933" s="335"/>
      <c r="L933" s="336"/>
      <c r="M933" s="338"/>
    </row>
    <row r="934" spans="2:13">
      <c r="B934" s="271"/>
      <c r="C934" s="271"/>
      <c r="D934" s="271"/>
      <c r="E934" s="271"/>
      <c r="F934" s="271"/>
      <c r="G934" s="271"/>
      <c r="H934" s="271"/>
      <c r="I934" s="334" t="str">
        <f t="shared" si="28"/>
        <v/>
      </c>
      <c r="J934" s="270" t="str">
        <f t="shared" si="29"/>
        <v/>
      </c>
      <c r="K934" s="335"/>
      <c r="L934" s="336"/>
      <c r="M934" s="338"/>
    </row>
    <row r="935" spans="2:13">
      <c r="B935" s="271"/>
      <c r="C935" s="271"/>
      <c r="D935" s="271"/>
      <c r="E935" s="271"/>
      <c r="F935" s="271"/>
      <c r="G935" s="271"/>
      <c r="H935" s="271"/>
      <c r="I935" s="334" t="str">
        <f t="shared" si="28"/>
        <v/>
      </c>
      <c r="J935" s="270" t="str">
        <f t="shared" si="29"/>
        <v/>
      </c>
      <c r="K935" s="335"/>
      <c r="L935" s="336"/>
      <c r="M935" s="338"/>
    </row>
    <row r="936" spans="2:13">
      <c r="B936" s="271"/>
      <c r="C936" s="271"/>
      <c r="D936" s="271"/>
      <c r="E936" s="271"/>
      <c r="F936" s="271"/>
      <c r="G936" s="271"/>
      <c r="H936" s="271"/>
      <c r="I936" s="334" t="str">
        <f t="shared" si="28"/>
        <v/>
      </c>
      <c r="J936" s="270" t="str">
        <f t="shared" si="29"/>
        <v/>
      </c>
      <c r="K936" s="335"/>
      <c r="L936" s="336"/>
      <c r="M936" s="338"/>
    </row>
    <row r="937" spans="2:13">
      <c r="B937" s="271"/>
      <c r="C937" s="271"/>
      <c r="D937" s="271"/>
      <c r="E937" s="271"/>
      <c r="F937" s="271"/>
      <c r="G937" s="271"/>
      <c r="H937" s="271"/>
      <c r="I937" s="334" t="str">
        <f t="shared" si="28"/>
        <v/>
      </c>
      <c r="J937" s="270" t="str">
        <f t="shared" si="29"/>
        <v/>
      </c>
      <c r="K937" s="335"/>
      <c r="L937" s="336"/>
      <c r="M937" s="338"/>
    </row>
    <row r="938" spans="2:13">
      <c r="B938" s="271"/>
      <c r="C938" s="271"/>
      <c r="D938" s="271"/>
      <c r="E938" s="271"/>
      <c r="F938" s="271"/>
      <c r="G938" s="271"/>
      <c r="H938" s="271"/>
      <c r="I938" s="334" t="str">
        <f t="shared" si="28"/>
        <v/>
      </c>
      <c r="J938" s="270" t="str">
        <f t="shared" si="29"/>
        <v/>
      </c>
      <c r="K938" s="335"/>
      <c r="L938" s="336"/>
      <c r="M938" s="338"/>
    </row>
    <row r="939" spans="2:13">
      <c r="B939" s="271"/>
      <c r="C939" s="271"/>
      <c r="D939" s="271"/>
      <c r="E939" s="271"/>
      <c r="F939" s="271"/>
      <c r="G939" s="271"/>
      <c r="H939" s="271"/>
      <c r="I939" s="334" t="str">
        <f t="shared" si="28"/>
        <v/>
      </c>
      <c r="J939" s="270" t="str">
        <f t="shared" si="29"/>
        <v/>
      </c>
      <c r="K939" s="335"/>
      <c r="L939" s="336"/>
      <c r="M939" s="338"/>
    </row>
    <row r="940" spans="2:13">
      <c r="B940" s="271"/>
      <c r="C940" s="271"/>
      <c r="D940" s="271"/>
      <c r="E940" s="271"/>
      <c r="F940" s="271"/>
      <c r="G940" s="271"/>
      <c r="H940" s="271"/>
      <c r="I940" s="334" t="str">
        <f t="shared" si="28"/>
        <v/>
      </c>
      <c r="J940" s="270" t="str">
        <f t="shared" si="29"/>
        <v/>
      </c>
      <c r="K940" s="335"/>
      <c r="L940" s="336"/>
      <c r="M940" s="338"/>
    </row>
    <row r="941" spans="2:13">
      <c r="B941" s="271"/>
      <c r="C941" s="271"/>
      <c r="D941" s="271"/>
      <c r="E941" s="271"/>
      <c r="F941" s="271"/>
      <c r="G941" s="271"/>
      <c r="H941" s="271"/>
      <c r="I941" s="334" t="str">
        <f t="shared" si="28"/>
        <v/>
      </c>
      <c r="J941" s="270" t="str">
        <f t="shared" si="29"/>
        <v/>
      </c>
      <c r="K941" s="335"/>
      <c r="L941" s="336"/>
      <c r="M941" s="338"/>
    </row>
    <row r="942" spans="2:13">
      <c r="B942" s="271"/>
      <c r="C942" s="271"/>
      <c r="D942" s="271"/>
      <c r="E942" s="271"/>
      <c r="F942" s="271"/>
      <c r="G942" s="271"/>
      <c r="H942" s="271"/>
      <c r="I942" s="334" t="str">
        <f t="shared" si="28"/>
        <v/>
      </c>
      <c r="J942" s="270" t="str">
        <f t="shared" si="29"/>
        <v/>
      </c>
      <c r="K942" s="335"/>
      <c r="L942" s="336"/>
      <c r="M942" s="338"/>
    </row>
    <row r="943" spans="2:13">
      <c r="B943" s="271"/>
      <c r="C943" s="271"/>
      <c r="D943" s="271"/>
      <c r="E943" s="271"/>
      <c r="F943" s="271"/>
      <c r="G943" s="271"/>
      <c r="H943" s="271"/>
      <c r="I943" s="334" t="str">
        <f t="shared" si="28"/>
        <v/>
      </c>
      <c r="J943" s="270" t="str">
        <f t="shared" si="29"/>
        <v/>
      </c>
      <c r="K943" s="335"/>
      <c r="L943" s="336"/>
      <c r="M943" s="338"/>
    </row>
    <row r="944" spans="2:13">
      <c r="B944" s="271"/>
      <c r="C944" s="271"/>
      <c r="D944" s="271"/>
      <c r="E944" s="271"/>
      <c r="F944" s="271"/>
      <c r="G944" s="271"/>
      <c r="H944" s="271"/>
      <c r="I944" s="334" t="str">
        <f t="shared" si="28"/>
        <v/>
      </c>
      <c r="J944" s="270" t="str">
        <f t="shared" si="29"/>
        <v/>
      </c>
      <c r="K944" s="335"/>
      <c r="L944" s="336"/>
      <c r="M944" s="338"/>
    </row>
    <row r="945" spans="2:13">
      <c r="B945" s="271"/>
      <c r="C945" s="271"/>
      <c r="D945" s="271"/>
      <c r="E945" s="271"/>
      <c r="F945" s="271"/>
      <c r="G945" s="271"/>
      <c r="H945" s="271"/>
      <c r="I945" s="334" t="str">
        <f t="shared" si="28"/>
        <v/>
      </c>
      <c r="J945" s="270" t="str">
        <f t="shared" si="29"/>
        <v/>
      </c>
      <c r="K945" s="335"/>
      <c r="L945" s="336"/>
      <c r="M945" s="338"/>
    </row>
    <row r="946" spans="2:13">
      <c r="B946" s="271"/>
      <c r="C946" s="271"/>
      <c r="D946" s="271"/>
      <c r="E946" s="271"/>
      <c r="F946" s="271"/>
      <c r="G946" s="271"/>
      <c r="H946" s="271"/>
      <c r="I946" s="334" t="str">
        <f t="shared" si="28"/>
        <v/>
      </c>
      <c r="J946" s="270" t="str">
        <f t="shared" si="29"/>
        <v/>
      </c>
      <c r="K946" s="335"/>
      <c r="L946" s="336"/>
      <c r="M946" s="338"/>
    </row>
    <row r="947" spans="2:13">
      <c r="B947" s="271"/>
      <c r="C947" s="271"/>
      <c r="D947" s="271"/>
      <c r="E947" s="271"/>
      <c r="F947" s="271"/>
      <c r="G947" s="271"/>
      <c r="H947" s="271"/>
      <c r="I947" s="334" t="str">
        <f t="shared" si="28"/>
        <v/>
      </c>
      <c r="J947" s="270" t="str">
        <f t="shared" si="29"/>
        <v/>
      </c>
      <c r="K947" s="335"/>
      <c r="L947" s="336"/>
      <c r="M947" s="338"/>
    </row>
    <row r="948" spans="2:13">
      <c r="B948" s="271"/>
      <c r="C948" s="271"/>
      <c r="D948" s="271"/>
      <c r="E948" s="271"/>
      <c r="F948" s="271"/>
      <c r="G948" s="271"/>
      <c r="H948" s="271"/>
      <c r="I948" s="334" t="str">
        <f t="shared" si="28"/>
        <v/>
      </c>
      <c r="J948" s="270" t="str">
        <f t="shared" si="29"/>
        <v/>
      </c>
      <c r="K948" s="335"/>
      <c r="L948" s="336"/>
      <c r="M948" s="338"/>
    </row>
    <row r="949" spans="2:13">
      <c r="B949" s="271"/>
      <c r="C949" s="271"/>
      <c r="D949" s="271"/>
      <c r="E949" s="271"/>
      <c r="F949" s="271"/>
      <c r="G949" s="271"/>
      <c r="H949" s="271"/>
      <c r="I949" s="334" t="str">
        <f t="shared" si="28"/>
        <v/>
      </c>
      <c r="J949" s="270" t="str">
        <f t="shared" si="29"/>
        <v/>
      </c>
      <c r="K949" s="335"/>
      <c r="L949" s="336"/>
      <c r="M949" s="338"/>
    </row>
    <row r="950" spans="2:13">
      <c r="B950" s="271"/>
      <c r="C950" s="271"/>
      <c r="D950" s="271"/>
      <c r="E950" s="271"/>
      <c r="F950" s="271"/>
      <c r="G950" s="271"/>
      <c r="H950" s="271"/>
      <c r="I950" s="334" t="str">
        <f t="shared" si="28"/>
        <v/>
      </c>
      <c r="J950" s="270" t="str">
        <f t="shared" si="29"/>
        <v/>
      </c>
      <c r="K950" s="335"/>
      <c r="L950" s="336"/>
      <c r="M950" s="338"/>
    </row>
    <row r="951" spans="2:13">
      <c r="B951" s="271"/>
      <c r="C951" s="271"/>
      <c r="D951" s="271"/>
      <c r="E951" s="271"/>
      <c r="F951" s="271"/>
      <c r="G951" s="271"/>
      <c r="H951" s="271"/>
      <c r="I951" s="334" t="str">
        <f t="shared" si="28"/>
        <v/>
      </c>
      <c r="J951" s="270" t="str">
        <f t="shared" si="29"/>
        <v/>
      </c>
      <c r="K951" s="335"/>
      <c r="L951" s="336"/>
      <c r="M951" s="338"/>
    </row>
    <row r="952" spans="2:13">
      <c r="B952" s="271"/>
      <c r="C952" s="271"/>
      <c r="D952" s="271"/>
      <c r="E952" s="271"/>
      <c r="F952" s="271"/>
      <c r="G952" s="271"/>
      <c r="H952" s="271"/>
      <c r="I952" s="334" t="str">
        <f t="shared" si="28"/>
        <v/>
      </c>
      <c r="J952" s="270" t="str">
        <f t="shared" si="29"/>
        <v/>
      </c>
      <c r="K952" s="335"/>
      <c r="L952" s="336"/>
      <c r="M952" s="338"/>
    </row>
    <row r="953" spans="2:13">
      <c r="B953" s="271"/>
      <c r="C953" s="271"/>
      <c r="D953" s="271"/>
      <c r="E953" s="271"/>
      <c r="F953" s="271"/>
      <c r="G953" s="271"/>
      <c r="H953" s="271"/>
      <c r="I953" s="334" t="str">
        <f t="shared" si="28"/>
        <v/>
      </c>
      <c r="J953" s="270" t="str">
        <f t="shared" si="29"/>
        <v/>
      </c>
      <c r="K953" s="335"/>
      <c r="L953" s="336"/>
      <c r="M953" s="338"/>
    </row>
    <row r="954" spans="2:13">
      <c r="B954" s="271"/>
      <c r="C954" s="271"/>
      <c r="D954" s="271"/>
      <c r="E954" s="271"/>
      <c r="F954" s="271"/>
      <c r="G954" s="271"/>
      <c r="H954" s="271"/>
      <c r="I954" s="334" t="str">
        <f t="shared" si="28"/>
        <v/>
      </c>
      <c r="J954" s="270" t="str">
        <f t="shared" si="29"/>
        <v/>
      </c>
      <c r="K954" s="335"/>
      <c r="L954" s="336"/>
      <c r="M954" s="338"/>
    </row>
    <row r="955" spans="2:13">
      <c r="B955" s="271"/>
      <c r="C955" s="271"/>
      <c r="D955" s="271"/>
      <c r="E955" s="271"/>
      <c r="F955" s="271"/>
      <c r="G955" s="271"/>
      <c r="H955" s="271"/>
      <c r="I955" s="334" t="str">
        <f t="shared" si="28"/>
        <v/>
      </c>
      <c r="J955" s="270" t="str">
        <f t="shared" si="29"/>
        <v/>
      </c>
      <c r="K955" s="335"/>
      <c r="L955" s="336"/>
      <c r="M955" s="338"/>
    </row>
    <row r="956" spans="2:13">
      <c r="B956" s="271"/>
      <c r="C956" s="271"/>
      <c r="D956" s="271"/>
      <c r="E956" s="271"/>
      <c r="F956" s="271"/>
      <c r="G956" s="271"/>
      <c r="H956" s="271"/>
      <c r="I956" s="334" t="str">
        <f t="shared" si="28"/>
        <v/>
      </c>
      <c r="J956" s="270" t="str">
        <f t="shared" si="29"/>
        <v/>
      </c>
      <c r="K956" s="335"/>
      <c r="L956" s="336"/>
      <c r="M956" s="338"/>
    </row>
    <row r="957" spans="2:13">
      <c r="B957" s="271"/>
      <c r="C957" s="271"/>
      <c r="D957" s="271"/>
      <c r="E957" s="271"/>
      <c r="F957" s="271"/>
      <c r="G957" s="271"/>
      <c r="H957" s="271"/>
      <c r="I957" s="334" t="str">
        <f t="shared" si="28"/>
        <v/>
      </c>
      <c r="J957" s="270" t="str">
        <f t="shared" si="29"/>
        <v/>
      </c>
      <c r="K957" s="335"/>
      <c r="L957" s="336"/>
      <c r="M957" s="338"/>
    </row>
    <row r="958" spans="2:13">
      <c r="B958" s="271"/>
      <c r="C958" s="271"/>
      <c r="D958" s="271"/>
      <c r="E958" s="271"/>
      <c r="F958" s="271"/>
      <c r="G958" s="271"/>
      <c r="H958" s="271"/>
      <c r="I958" s="334" t="str">
        <f t="shared" si="28"/>
        <v/>
      </c>
      <c r="J958" s="270" t="str">
        <f t="shared" si="29"/>
        <v/>
      </c>
      <c r="K958" s="335"/>
      <c r="L958" s="336"/>
      <c r="M958" s="338"/>
    </row>
    <row r="959" spans="2:13">
      <c r="B959" s="271"/>
      <c r="C959" s="271"/>
      <c r="D959" s="271"/>
      <c r="E959" s="271"/>
      <c r="F959" s="271"/>
      <c r="G959" s="271"/>
      <c r="H959" s="271"/>
      <c r="I959" s="334" t="str">
        <f t="shared" si="28"/>
        <v/>
      </c>
      <c r="J959" s="270" t="str">
        <f t="shared" si="29"/>
        <v/>
      </c>
      <c r="K959" s="335"/>
      <c r="L959" s="336"/>
      <c r="M959" s="338"/>
    </row>
    <row r="960" spans="2:13">
      <c r="B960" s="271"/>
      <c r="C960" s="271"/>
      <c r="D960" s="271"/>
      <c r="E960" s="271"/>
      <c r="F960" s="271"/>
      <c r="G960" s="271"/>
      <c r="H960" s="271"/>
      <c r="I960" s="334" t="str">
        <f t="shared" si="28"/>
        <v/>
      </c>
      <c r="J960" s="270" t="str">
        <f t="shared" si="29"/>
        <v/>
      </c>
      <c r="K960" s="335"/>
      <c r="L960" s="336"/>
      <c r="M960" s="338"/>
    </row>
    <row r="961" spans="2:13">
      <c r="B961" s="271"/>
      <c r="C961" s="271"/>
      <c r="D961" s="271"/>
      <c r="E961" s="271"/>
      <c r="F961" s="271"/>
      <c r="G961" s="271"/>
      <c r="H961" s="271"/>
      <c r="I961" s="334" t="str">
        <f t="shared" si="28"/>
        <v/>
      </c>
      <c r="J961" s="270" t="str">
        <f t="shared" si="29"/>
        <v/>
      </c>
      <c r="K961" s="335"/>
      <c r="L961" s="336"/>
      <c r="M961" s="338"/>
    </row>
    <row r="962" spans="2:13">
      <c r="B962" s="271"/>
      <c r="C962" s="271"/>
      <c r="D962" s="271"/>
      <c r="E962" s="271"/>
      <c r="F962" s="271"/>
      <c r="G962" s="271"/>
      <c r="H962" s="271"/>
      <c r="I962" s="334" t="str">
        <f t="shared" si="28"/>
        <v/>
      </c>
      <c r="J962" s="270" t="str">
        <f t="shared" si="29"/>
        <v/>
      </c>
      <c r="K962" s="335"/>
      <c r="L962" s="336"/>
      <c r="M962" s="338"/>
    </row>
    <row r="963" spans="2:13">
      <c r="B963" s="271"/>
      <c r="C963" s="271"/>
      <c r="D963" s="271"/>
      <c r="E963" s="271"/>
      <c r="F963" s="271"/>
      <c r="G963" s="271"/>
      <c r="H963" s="271"/>
      <c r="I963" s="334" t="str">
        <f t="shared" si="28"/>
        <v/>
      </c>
      <c r="J963" s="270" t="str">
        <f t="shared" si="29"/>
        <v/>
      </c>
      <c r="K963" s="335"/>
      <c r="L963" s="336"/>
      <c r="M963" s="338"/>
    </row>
    <row r="964" spans="2:13">
      <c r="B964" s="271"/>
      <c r="C964" s="271"/>
      <c r="D964" s="271"/>
      <c r="E964" s="271"/>
      <c r="F964" s="271"/>
      <c r="G964" s="271"/>
      <c r="H964" s="271"/>
      <c r="I964" s="334" t="str">
        <f t="shared" si="28"/>
        <v/>
      </c>
      <c r="J964" s="270" t="str">
        <f t="shared" si="29"/>
        <v/>
      </c>
      <c r="K964" s="335"/>
      <c r="L964" s="336"/>
      <c r="M964" s="338"/>
    </row>
    <row r="965" spans="2:13">
      <c r="B965" s="271"/>
      <c r="C965" s="271"/>
      <c r="D965" s="271"/>
      <c r="E965" s="271"/>
      <c r="F965" s="271"/>
      <c r="G965" s="271"/>
      <c r="H965" s="271"/>
      <c r="I965" s="334" t="str">
        <f t="shared" si="28"/>
        <v/>
      </c>
      <c r="J965" s="270" t="str">
        <f t="shared" si="29"/>
        <v/>
      </c>
      <c r="K965" s="335"/>
      <c r="L965" s="336"/>
      <c r="M965" s="338"/>
    </row>
    <row r="966" spans="2:13">
      <c r="B966" s="271"/>
      <c r="C966" s="271"/>
      <c r="D966" s="271"/>
      <c r="E966" s="271"/>
      <c r="F966" s="271"/>
      <c r="G966" s="271"/>
      <c r="H966" s="271"/>
      <c r="I966" s="334" t="str">
        <f t="shared" si="28"/>
        <v/>
      </c>
      <c r="J966" s="270" t="str">
        <f t="shared" si="29"/>
        <v/>
      </c>
      <c r="K966" s="335"/>
      <c r="L966" s="336"/>
      <c r="M966" s="338"/>
    </row>
    <row r="967" spans="2:13">
      <c r="B967" s="271"/>
      <c r="C967" s="271"/>
      <c r="D967" s="271"/>
      <c r="E967" s="271"/>
      <c r="F967" s="271"/>
      <c r="G967" s="271"/>
      <c r="H967" s="271"/>
      <c r="I967" s="334" t="str">
        <f t="shared" si="28"/>
        <v/>
      </c>
      <c r="J967" s="270" t="str">
        <f t="shared" si="29"/>
        <v/>
      </c>
      <c r="K967" s="335"/>
      <c r="L967" s="336"/>
      <c r="M967" s="338"/>
    </row>
    <row r="968" spans="2:13">
      <c r="B968" s="271"/>
      <c r="C968" s="271"/>
      <c r="D968" s="271"/>
      <c r="E968" s="271"/>
      <c r="F968" s="271"/>
      <c r="G968" s="271"/>
      <c r="H968" s="271"/>
      <c r="I968" s="334" t="str">
        <f t="shared" si="28"/>
        <v/>
      </c>
      <c r="J968" s="270" t="str">
        <f t="shared" si="29"/>
        <v/>
      </c>
      <c r="K968" s="335"/>
      <c r="L968" s="336"/>
      <c r="M968" s="338"/>
    </row>
    <row r="969" spans="2:13">
      <c r="B969" s="271"/>
      <c r="C969" s="271"/>
      <c r="D969" s="271"/>
      <c r="E969" s="271"/>
      <c r="F969" s="271"/>
      <c r="G969" s="271"/>
      <c r="H969" s="271"/>
      <c r="I969" s="334" t="str">
        <f t="shared" si="28"/>
        <v/>
      </c>
      <c r="J969" s="270" t="str">
        <f t="shared" si="29"/>
        <v/>
      </c>
      <c r="K969" s="335"/>
      <c r="L969" s="336"/>
      <c r="M969" s="338"/>
    </row>
    <row r="970" spans="2:13">
      <c r="B970" s="271"/>
      <c r="C970" s="271"/>
      <c r="D970" s="271"/>
      <c r="E970" s="271"/>
      <c r="F970" s="271"/>
      <c r="G970" s="271"/>
      <c r="H970" s="271"/>
      <c r="I970" s="334" t="str">
        <f t="shared" si="28"/>
        <v/>
      </c>
      <c r="J970" s="270" t="str">
        <f t="shared" si="29"/>
        <v/>
      </c>
      <c r="K970" s="335"/>
      <c r="L970" s="336"/>
      <c r="M970" s="338"/>
    </row>
    <row r="971" spans="2:13">
      <c r="B971" s="271"/>
      <c r="C971" s="271"/>
      <c r="D971" s="271"/>
      <c r="E971" s="271"/>
      <c r="F971" s="271"/>
      <c r="G971" s="271"/>
      <c r="H971" s="271"/>
      <c r="I971" s="334" t="str">
        <f t="shared" si="28"/>
        <v/>
      </c>
      <c r="J971" s="270" t="str">
        <f t="shared" si="29"/>
        <v/>
      </c>
      <c r="K971" s="335"/>
      <c r="L971" s="336"/>
      <c r="M971" s="338"/>
    </row>
    <row r="972" spans="2:13">
      <c r="B972" s="271"/>
      <c r="C972" s="271"/>
      <c r="D972" s="271"/>
      <c r="E972" s="271"/>
      <c r="F972" s="271"/>
      <c r="G972" s="271"/>
      <c r="H972" s="271"/>
      <c r="I972" s="334" t="str">
        <f t="shared" si="28"/>
        <v/>
      </c>
      <c r="J972" s="270" t="str">
        <f t="shared" si="29"/>
        <v/>
      </c>
      <c r="K972" s="335"/>
      <c r="L972" s="336"/>
      <c r="M972" s="338"/>
    </row>
    <row r="973" spans="2:13">
      <c r="B973" s="271"/>
      <c r="C973" s="271"/>
      <c r="D973" s="271"/>
      <c r="E973" s="271"/>
      <c r="F973" s="271"/>
      <c r="G973" s="271"/>
      <c r="H973" s="271"/>
      <c r="I973" s="334" t="str">
        <f t="shared" si="28"/>
        <v/>
      </c>
      <c r="J973" s="270" t="str">
        <f t="shared" si="29"/>
        <v/>
      </c>
      <c r="K973" s="335"/>
      <c r="L973" s="336"/>
      <c r="M973" s="338"/>
    </row>
    <row r="974" spans="2:13">
      <c r="B974" s="271"/>
      <c r="C974" s="271"/>
      <c r="D974" s="271"/>
      <c r="E974" s="271"/>
      <c r="F974" s="271"/>
      <c r="G974" s="271"/>
      <c r="H974" s="271"/>
      <c r="I974" s="334" t="str">
        <f t="shared" ref="I974:I1037" si="30">IF(H974="Large","NRS",IF(H974="International","FRS",IF(H974="SME - Medium","SME",IF(H974="SME - Micro","SME",IF(H974="SME - Small","SME","")))))</f>
        <v/>
      </c>
      <c r="J974" s="270" t="str">
        <f t="shared" ref="J974:J1014" si="31">IF(B974="","","No")</f>
        <v/>
      </c>
      <c r="K974" s="335"/>
      <c r="L974" s="336"/>
      <c r="M974" s="338"/>
    </row>
    <row r="975" spans="2:13">
      <c r="B975" s="271"/>
      <c r="C975" s="271"/>
      <c r="D975" s="271"/>
      <c r="E975" s="271"/>
      <c r="F975" s="271"/>
      <c r="G975" s="271"/>
      <c r="H975" s="271"/>
      <c r="I975" s="334" t="str">
        <f t="shared" si="30"/>
        <v/>
      </c>
      <c r="J975" s="270" t="str">
        <f t="shared" si="31"/>
        <v/>
      </c>
      <c r="K975" s="335"/>
      <c r="L975" s="336"/>
      <c r="M975" s="338"/>
    </row>
    <row r="976" spans="2:13">
      <c r="B976" s="271"/>
      <c r="C976" s="271"/>
      <c r="D976" s="271"/>
      <c r="E976" s="271"/>
      <c r="F976" s="271"/>
      <c r="G976" s="271"/>
      <c r="H976" s="271"/>
      <c r="I976" s="334" t="str">
        <f t="shared" si="30"/>
        <v/>
      </c>
      <c r="J976" s="270" t="str">
        <f t="shared" si="31"/>
        <v/>
      </c>
      <c r="K976" s="335"/>
      <c r="L976" s="336"/>
      <c r="M976" s="338"/>
    </row>
    <row r="977" spans="2:13">
      <c r="B977" s="271"/>
      <c r="C977" s="271"/>
      <c r="D977" s="271"/>
      <c r="E977" s="271"/>
      <c r="F977" s="271"/>
      <c r="G977" s="271"/>
      <c r="H977" s="271"/>
      <c r="I977" s="334" t="str">
        <f t="shared" si="30"/>
        <v/>
      </c>
      <c r="J977" s="270" t="str">
        <f t="shared" si="31"/>
        <v/>
      </c>
      <c r="K977" s="335"/>
      <c r="L977" s="336"/>
      <c r="M977" s="338"/>
    </row>
    <row r="978" spans="2:13">
      <c r="B978" s="271"/>
      <c r="C978" s="271"/>
      <c r="D978" s="271"/>
      <c r="E978" s="271"/>
      <c r="F978" s="271"/>
      <c r="G978" s="271"/>
      <c r="H978" s="271"/>
      <c r="I978" s="334" t="str">
        <f t="shared" si="30"/>
        <v/>
      </c>
      <c r="J978" s="270" t="str">
        <f t="shared" si="31"/>
        <v/>
      </c>
      <c r="K978" s="335"/>
      <c r="L978" s="336"/>
      <c r="M978" s="338"/>
    </row>
    <row r="979" spans="2:13">
      <c r="B979" s="271"/>
      <c r="C979" s="271"/>
      <c r="D979" s="271"/>
      <c r="E979" s="271"/>
      <c r="F979" s="271"/>
      <c r="G979" s="271"/>
      <c r="H979" s="271"/>
      <c r="I979" s="334" t="str">
        <f t="shared" si="30"/>
        <v/>
      </c>
      <c r="J979" s="270" t="str">
        <f t="shared" si="31"/>
        <v/>
      </c>
      <c r="K979" s="335"/>
      <c r="L979" s="336"/>
      <c r="M979" s="338"/>
    </row>
    <row r="980" spans="2:13">
      <c r="B980" s="271"/>
      <c r="C980" s="271"/>
      <c r="D980" s="271"/>
      <c r="E980" s="271"/>
      <c r="F980" s="271"/>
      <c r="G980" s="271"/>
      <c r="H980" s="271"/>
      <c r="I980" s="334" t="str">
        <f t="shared" si="30"/>
        <v/>
      </c>
      <c r="J980" s="270" t="str">
        <f t="shared" si="31"/>
        <v/>
      </c>
      <c r="K980" s="335"/>
      <c r="L980" s="336"/>
      <c r="M980" s="338"/>
    </row>
    <row r="981" spans="2:13">
      <c r="B981" s="271"/>
      <c r="C981" s="271"/>
      <c r="D981" s="271"/>
      <c r="E981" s="271"/>
      <c r="F981" s="271"/>
      <c r="G981" s="271"/>
      <c r="H981" s="271"/>
      <c r="I981" s="334" t="str">
        <f t="shared" si="30"/>
        <v/>
      </c>
      <c r="J981" s="270" t="str">
        <f t="shared" si="31"/>
        <v/>
      </c>
      <c r="K981" s="335"/>
      <c r="L981" s="336"/>
      <c r="M981" s="338"/>
    </row>
    <row r="982" spans="2:13">
      <c r="B982" s="271"/>
      <c r="C982" s="271"/>
      <c r="D982" s="271"/>
      <c r="E982" s="271"/>
      <c r="F982" s="271"/>
      <c r="G982" s="271"/>
      <c r="H982" s="271"/>
      <c r="I982" s="334" t="str">
        <f t="shared" si="30"/>
        <v/>
      </c>
      <c r="J982" s="270" t="str">
        <f t="shared" si="31"/>
        <v/>
      </c>
      <c r="K982" s="335"/>
      <c r="L982" s="336"/>
      <c r="M982" s="338"/>
    </row>
    <row r="983" spans="2:13">
      <c r="B983" s="271"/>
      <c r="C983" s="271"/>
      <c r="D983" s="271"/>
      <c r="E983" s="271"/>
      <c r="F983" s="271"/>
      <c r="G983" s="271"/>
      <c r="H983" s="271"/>
      <c r="I983" s="334" t="str">
        <f t="shared" si="30"/>
        <v/>
      </c>
      <c r="J983" s="270" t="str">
        <f t="shared" si="31"/>
        <v/>
      </c>
      <c r="K983" s="335"/>
      <c r="L983" s="336"/>
      <c r="M983" s="338"/>
    </row>
    <row r="984" spans="2:13">
      <c r="B984" s="271"/>
      <c r="C984" s="271"/>
      <c r="D984" s="271"/>
      <c r="E984" s="271"/>
      <c r="F984" s="271"/>
      <c r="G984" s="271"/>
      <c r="H984" s="271"/>
      <c r="I984" s="334" t="str">
        <f t="shared" si="30"/>
        <v/>
      </c>
      <c r="J984" s="270" t="str">
        <f t="shared" si="31"/>
        <v/>
      </c>
      <c r="K984" s="335"/>
      <c r="L984" s="336"/>
      <c r="M984" s="338"/>
    </row>
    <row r="985" spans="2:13">
      <c r="B985" s="271"/>
      <c r="C985" s="271"/>
      <c r="D985" s="271"/>
      <c r="E985" s="271"/>
      <c r="F985" s="271"/>
      <c r="G985" s="271"/>
      <c r="H985" s="271"/>
      <c r="I985" s="334" t="str">
        <f t="shared" si="30"/>
        <v/>
      </c>
      <c r="J985" s="270" t="str">
        <f t="shared" si="31"/>
        <v/>
      </c>
      <c r="K985" s="335"/>
      <c r="L985" s="336"/>
      <c r="M985" s="338"/>
    </row>
    <row r="986" spans="2:13">
      <c r="B986" s="271"/>
      <c r="C986" s="271"/>
      <c r="D986" s="271"/>
      <c r="E986" s="271"/>
      <c r="F986" s="271"/>
      <c r="G986" s="271"/>
      <c r="H986" s="271"/>
      <c r="I986" s="334" t="str">
        <f t="shared" si="30"/>
        <v/>
      </c>
      <c r="J986" s="270" t="str">
        <f t="shared" si="31"/>
        <v/>
      </c>
      <c r="K986" s="335"/>
      <c r="L986" s="336"/>
      <c r="M986" s="338"/>
    </row>
    <row r="987" spans="2:13">
      <c r="B987" s="271"/>
      <c r="C987" s="271"/>
      <c r="D987" s="271"/>
      <c r="E987" s="271"/>
      <c r="F987" s="271"/>
      <c r="G987" s="271"/>
      <c r="H987" s="271"/>
      <c r="I987" s="334" t="str">
        <f t="shared" si="30"/>
        <v/>
      </c>
      <c r="J987" s="270" t="str">
        <f t="shared" si="31"/>
        <v/>
      </c>
      <c r="K987" s="335"/>
      <c r="L987" s="336"/>
      <c r="M987" s="338"/>
    </row>
    <row r="988" spans="2:13">
      <c r="B988" s="271"/>
      <c r="C988" s="271"/>
      <c r="D988" s="271"/>
      <c r="E988" s="271"/>
      <c r="F988" s="271"/>
      <c r="G988" s="271"/>
      <c r="H988" s="271"/>
      <c r="I988" s="334" t="str">
        <f t="shared" si="30"/>
        <v/>
      </c>
      <c r="J988" s="270" t="str">
        <f t="shared" si="31"/>
        <v/>
      </c>
      <c r="K988" s="335"/>
      <c r="L988" s="336"/>
      <c r="M988" s="338"/>
    </row>
    <row r="989" spans="2:13">
      <c r="B989" s="271"/>
      <c r="C989" s="271"/>
      <c r="D989" s="271"/>
      <c r="E989" s="271"/>
      <c r="F989" s="271"/>
      <c r="G989" s="271"/>
      <c r="H989" s="271"/>
      <c r="I989" s="334" t="str">
        <f t="shared" si="30"/>
        <v/>
      </c>
      <c r="J989" s="270" t="str">
        <f t="shared" si="31"/>
        <v/>
      </c>
      <c r="K989" s="335"/>
      <c r="L989" s="336"/>
      <c r="M989" s="338"/>
    </row>
    <row r="990" spans="2:13">
      <c r="B990" s="271"/>
      <c r="C990" s="271"/>
      <c r="D990" s="271"/>
      <c r="E990" s="271"/>
      <c r="F990" s="271"/>
      <c r="G990" s="271"/>
      <c r="H990" s="271"/>
      <c r="I990" s="334" t="str">
        <f t="shared" si="30"/>
        <v/>
      </c>
      <c r="J990" s="270" t="str">
        <f t="shared" si="31"/>
        <v/>
      </c>
      <c r="K990" s="335"/>
      <c r="L990" s="336"/>
      <c r="M990" s="338"/>
    </row>
    <row r="991" spans="2:13">
      <c r="B991" s="271"/>
      <c r="C991" s="271"/>
      <c r="D991" s="271"/>
      <c r="E991" s="271"/>
      <c r="F991" s="271"/>
      <c r="G991" s="271"/>
      <c r="H991" s="271"/>
      <c r="I991" s="334" t="str">
        <f t="shared" si="30"/>
        <v/>
      </c>
      <c r="J991" s="270" t="str">
        <f t="shared" si="31"/>
        <v/>
      </c>
      <c r="K991" s="335"/>
      <c r="L991" s="336"/>
      <c r="M991" s="338"/>
    </row>
    <row r="992" spans="2:13">
      <c r="B992" s="271"/>
      <c r="C992" s="271"/>
      <c r="D992" s="271"/>
      <c r="E992" s="271"/>
      <c r="F992" s="271"/>
      <c r="G992" s="271"/>
      <c r="H992" s="271"/>
      <c r="I992" s="334" t="str">
        <f t="shared" si="30"/>
        <v/>
      </c>
      <c r="J992" s="270" t="str">
        <f t="shared" si="31"/>
        <v/>
      </c>
      <c r="K992" s="335"/>
      <c r="L992" s="336"/>
      <c r="M992" s="338"/>
    </row>
    <row r="993" spans="2:13">
      <c r="B993" s="271"/>
      <c r="C993" s="271"/>
      <c r="D993" s="271"/>
      <c r="E993" s="271"/>
      <c r="F993" s="271"/>
      <c r="G993" s="271"/>
      <c r="H993" s="271"/>
      <c r="I993" s="334" t="str">
        <f t="shared" si="30"/>
        <v/>
      </c>
      <c r="J993" s="270" t="str">
        <f t="shared" si="31"/>
        <v/>
      </c>
      <c r="K993" s="335"/>
      <c r="L993" s="336"/>
      <c r="M993" s="338"/>
    </row>
    <row r="994" spans="2:13">
      <c r="B994" s="271"/>
      <c r="C994" s="271"/>
      <c r="D994" s="271"/>
      <c r="E994" s="271"/>
      <c r="F994" s="271"/>
      <c r="G994" s="271"/>
      <c r="H994" s="271"/>
      <c r="I994" s="334" t="str">
        <f t="shared" si="30"/>
        <v/>
      </c>
      <c r="J994" s="270" t="str">
        <f t="shared" si="31"/>
        <v/>
      </c>
      <c r="K994" s="335"/>
      <c r="L994" s="336"/>
      <c r="M994" s="338"/>
    </row>
    <row r="995" spans="2:13">
      <c r="B995" s="271"/>
      <c r="C995" s="271"/>
      <c r="D995" s="271"/>
      <c r="E995" s="271"/>
      <c r="F995" s="271"/>
      <c r="G995" s="271"/>
      <c r="H995" s="271"/>
      <c r="I995" s="334" t="str">
        <f t="shared" si="30"/>
        <v/>
      </c>
      <c r="J995" s="270" t="str">
        <f t="shared" si="31"/>
        <v/>
      </c>
      <c r="K995" s="335"/>
      <c r="L995" s="336"/>
      <c r="M995" s="338"/>
    </row>
    <row r="996" spans="2:13">
      <c r="B996" s="271"/>
      <c r="C996" s="271"/>
      <c r="D996" s="271"/>
      <c r="E996" s="271"/>
      <c r="F996" s="271"/>
      <c r="G996" s="271"/>
      <c r="H996" s="271"/>
      <c r="I996" s="334" t="str">
        <f t="shared" si="30"/>
        <v/>
      </c>
      <c r="J996" s="270" t="str">
        <f t="shared" si="31"/>
        <v/>
      </c>
      <c r="K996" s="335"/>
      <c r="L996" s="336"/>
      <c r="M996" s="338"/>
    </row>
    <row r="997" spans="2:13">
      <c r="B997" s="271"/>
      <c r="C997" s="271"/>
      <c r="D997" s="271"/>
      <c r="E997" s="271"/>
      <c r="F997" s="271"/>
      <c r="G997" s="271"/>
      <c r="H997" s="271"/>
      <c r="I997" s="334" t="str">
        <f t="shared" si="30"/>
        <v/>
      </c>
      <c r="J997" s="270" t="str">
        <f t="shared" si="31"/>
        <v/>
      </c>
      <c r="K997" s="335"/>
      <c r="L997" s="336"/>
      <c r="M997" s="338"/>
    </row>
    <row r="998" spans="2:13">
      <c r="B998" s="271"/>
      <c r="C998" s="271"/>
      <c r="D998" s="271"/>
      <c r="E998" s="271"/>
      <c r="F998" s="271"/>
      <c r="G998" s="271"/>
      <c r="H998" s="271"/>
      <c r="I998" s="334" t="str">
        <f t="shared" si="30"/>
        <v/>
      </c>
      <c r="J998" s="270" t="str">
        <f t="shared" si="31"/>
        <v/>
      </c>
      <c r="K998" s="335"/>
      <c r="L998" s="336"/>
      <c r="M998" s="338"/>
    </row>
    <row r="999" spans="2:13">
      <c r="B999" s="271"/>
      <c r="C999" s="271"/>
      <c r="D999" s="271"/>
      <c r="E999" s="271"/>
      <c r="F999" s="271"/>
      <c r="G999" s="271"/>
      <c r="H999" s="271"/>
      <c r="I999" s="334" t="str">
        <f t="shared" si="30"/>
        <v/>
      </c>
      <c r="J999" s="270" t="str">
        <f t="shared" si="31"/>
        <v/>
      </c>
      <c r="K999" s="335"/>
      <c r="L999" s="336"/>
      <c r="M999" s="338"/>
    </row>
    <row r="1000" spans="2:13">
      <c r="B1000" s="271"/>
      <c r="C1000" s="271"/>
      <c r="D1000" s="271"/>
      <c r="E1000" s="271"/>
      <c r="F1000" s="271"/>
      <c r="G1000" s="271"/>
      <c r="H1000" s="271"/>
      <c r="I1000" s="334" t="str">
        <f t="shared" si="30"/>
        <v/>
      </c>
      <c r="J1000" s="270" t="str">
        <f t="shared" si="31"/>
        <v/>
      </c>
      <c r="K1000" s="335"/>
      <c r="L1000" s="336"/>
      <c r="M1000" s="338"/>
    </row>
    <row r="1001" spans="2:13">
      <c r="B1001" s="271"/>
      <c r="C1001" s="271"/>
      <c r="D1001" s="271"/>
      <c r="E1001" s="271"/>
      <c r="F1001" s="271"/>
      <c r="G1001" s="271"/>
      <c r="H1001" s="271"/>
      <c r="I1001" s="334" t="str">
        <f t="shared" si="30"/>
        <v/>
      </c>
      <c r="J1001" s="270" t="str">
        <f t="shared" si="31"/>
        <v/>
      </c>
      <c r="K1001" s="335"/>
      <c r="L1001" s="336"/>
      <c r="M1001" s="338"/>
    </row>
    <row r="1002" spans="2:13">
      <c r="B1002" s="271"/>
      <c r="C1002" s="271"/>
      <c r="D1002" s="271"/>
      <c r="E1002" s="271"/>
      <c r="F1002" s="271"/>
      <c r="G1002" s="271"/>
      <c r="H1002" s="271"/>
      <c r="I1002" s="334" t="str">
        <f t="shared" si="30"/>
        <v/>
      </c>
      <c r="J1002" s="270" t="str">
        <f t="shared" si="31"/>
        <v/>
      </c>
      <c r="K1002" s="335"/>
      <c r="L1002" s="336"/>
      <c r="M1002" s="338"/>
    </row>
    <row r="1003" spans="2:13">
      <c r="B1003" s="271"/>
      <c r="C1003" s="271"/>
      <c r="D1003" s="271"/>
      <c r="E1003" s="271"/>
      <c r="F1003" s="271"/>
      <c r="G1003" s="271"/>
      <c r="H1003" s="271"/>
      <c r="I1003" s="334" t="str">
        <f t="shared" si="30"/>
        <v/>
      </c>
      <c r="J1003" s="270" t="str">
        <f t="shared" si="31"/>
        <v/>
      </c>
      <c r="K1003" s="335"/>
      <c r="L1003" s="336"/>
      <c r="M1003" s="338"/>
    </row>
    <row r="1004" spans="2:13">
      <c r="B1004" s="271"/>
      <c r="C1004" s="271"/>
      <c r="D1004" s="271"/>
      <c r="E1004" s="271"/>
      <c r="F1004" s="271"/>
      <c r="G1004" s="271"/>
      <c r="H1004" s="271"/>
      <c r="I1004" s="334" t="str">
        <f t="shared" si="30"/>
        <v/>
      </c>
      <c r="J1004" s="270" t="str">
        <f t="shared" si="31"/>
        <v/>
      </c>
      <c r="K1004" s="335"/>
      <c r="L1004" s="336"/>
      <c r="M1004" s="338"/>
    </row>
    <row r="1005" spans="2:13">
      <c r="B1005" s="271"/>
      <c r="C1005" s="271"/>
      <c r="D1005" s="271"/>
      <c r="E1005" s="271"/>
      <c r="F1005" s="271"/>
      <c r="G1005" s="271"/>
      <c r="H1005" s="271"/>
      <c r="I1005" s="334" t="str">
        <f t="shared" si="30"/>
        <v/>
      </c>
      <c r="J1005" s="270" t="str">
        <f t="shared" si="31"/>
        <v/>
      </c>
      <c r="K1005" s="335"/>
      <c r="L1005" s="336"/>
      <c r="M1005" s="338"/>
    </row>
    <row r="1006" spans="2:13">
      <c r="B1006" s="271"/>
      <c r="C1006" s="271"/>
      <c r="D1006" s="271"/>
      <c r="E1006" s="271"/>
      <c r="F1006" s="271"/>
      <c r="G1006" s="271"/>
      <c r="H1006" s="271"/>
      <c r="I1006" s="334" t="str">
        <f t="shared" si="30"/>
        <v/>
      </c>
      <c r="J1006" s="270" t="str">
        <f t="shared" si="31"/>
        <v/>
      </c>
      <c r="K1006" s="335"/>
      <c r="L1006" s="336"/>
      <c r="M1006" s="338"/>
    </row>
    <row r="1007" spans="2:13">
      <c r="B1007" s="271"/>
      <c r="C1007" s="271"/>
      <c r="D1007" s="271"/>
      <c r="E1007" s="271"/>
      <c r="F1007" s="271"/>
      <c r="G1007" s="271"/>
      <c r="H1007" s="271"/>
      <c r="I1007" s="334" t="str">
        <f t="shared" si="30"/>
        <v/>
      </c>
      <c r="J1007" s="270" t="str">
        <f t="shared" si="31"/>
        <v/>
      </c>
      <c r="K1007" s="335"/>
      <c r="L1007" s="336"/>
      <c r="M1007" s="338"/>
    </row>
    <row r="1008" spans="2:13">
      <c r="B1008" s="271"/>
      <c r="C1008" s="271"/>
      <c r="D1008" s="271"/>
      <c r="E1008" s="271"/>
      <c r="F1008" s="271"/>
      <c r="G1008" s="271"/>
      <c r="H1008" s="271"/>
      <c r="I1008" s="334" t="str">
        <f t="shared" si="30"/>
        <v/>
      </c>
      <c r="J1008" s="270" t="str">
        <f t="shared" si="31"/>
        <v/>
      </c>
      <c r="K1008" s="335"/>
      <c r="L1008" s="336"/>
      <c r="M1008" s="338"/>
    </row>
    <row r="1009" spans="2:13">
      <c r="B1009" s="271"/>
      <c r="C1009" s="271"/>
      <c r="D1009" s="271"/>
      <c r="E1009" s="271"/>
      <c r="F1009" s="271"/>
      <c r="G1009" s="271"/>
      <c r="H1009" s="271"/>
      <c r="I1009" s="334" t="str">
        <f t="shared" si="30"/>
        <v/>
      </c>
      <c r="J1009" s="270" t="str">
        <f t="shared" si="31"/>
        <v/>
      </c>
      <c r="K1009" s="335"/>
      <c r="L1009" s="336"/>
      <c r="M1009" s="338"/>
    </row>
    <row r="1010" spans="2:13">
      <c r="B1010" s="271"/>
      <c r="C1010" s="271"/>
      <c r="D1010" s="271"/>
      <c r="E1010" s="271"/>
      <c r="F1010" s="271"/>
      <c r="G1010" s="271"/>
      <c r="H1010" s="271"/>
      <c r="I1010" s="334" t="str">
        <f t="shared" si="30"/>
        <v/>
      </c>
      <c r="J1010" s="270" t="str">
        <f t="shared" si="31"/>
        <v/>
      </c>
      <c r="K1010" s="335"/>
      <c r="L1010" s="336"/>
      <c r="M1010" s="338"/>
    </row>
    <row r="1011" spans="2:13">
      <c r="B1011" s="271"/>
      <c r="C1011" s="271"/>
      <c r="D1011" s="271"/>
      <c r="E1011" s="271"/>
      <c r="F1011" s="271"/>
      <c r="G1011" s="271"/>
      <c r="H1011" s="271"/>
      <c r="I1011" s="334" t="str">
        <f t="shared" si="30"/>
        <v/>
      </c>
      <c r="J1011" s="270" t="str">
        <f t="shared" si="31"/>
        <v/>
      </c>
      <c r="K1011" s="335"/>
      <c r="L1011" s="336"/>
      <c r="M1011" s="338"/>
    </row>
    <row r="1012" spans="2:13">
      <c r="B1012" s="271"/>
      <c r="C1012" s="271"/>
      <c r="D1012" s="271"/>
      <c r="E1012" s="271"/>
      <c r="F1012" s="271"/>
      <c r="G1012" s="271"/>
      <c r="H1012" s="271"/>
      <c r="I1012" s="334" t="str">
        <f t="shared" si="30"/>
        <v/>
      </c>
      <c r="J1012" s="270" t="str">
        <f t="shared" si="31"/>
        <v/>
      </c>
      <c r="K1012" s="335"/>
      <c r="L1012" s="336"/>
      <c r="M1012" s="338"/>
    </row>
    <row r="1013" spans="2:13">
      <c r="B1013" s="271"/>
      <c r="C1013" s="271"/>
      <c r="D1013" s="271"/>
      <c r="E1013" s="271"/>
      <c r="F1013" s="271"/>
      <c r="G1013" s="271"/>
      <c r="H1013" s="271"/>
      <c r="I1013" s="334" t="str">
        <f t="shared" si="30"/>
        <v/>
      </c>
      <c r="J1013" s="270" t="str">
        <f t="shared" si="31"/>
        <v/>
      </c>
      <c r="K1013" s="335"/>
      <c r="L1013" s="336"/>
      <c r="M1013" s="338"/>
    </row>
    <row r="1014" spans="2:13">
      <c r="B1014" s="271"/>
      <c r="C1014" s="271"/>
      <c r="D1014" s="271"/>
      <c r="E1014" s="271"/>
      <c r="F1014" s="271"/>
      <c r="G1014" s="271"/>
      <c r="H1014" s="271"/>
      <c r="I1014" s="334" t="str">
        <f t="shared" si="30"/>
        <v/>
      </c>
      <c r="J1014" s="270" t="str">
        <f t="shared" si="31"/>
        <v/>
      </c>
      <c r="K1014" s="335"/>
      <c r="L1014" s="336"/>
      <c r="M1014" s="338"/>
    </row>
  </sheetData>
  <sheetProtection password="85CC" sheet="1" insertRows="0"/>
  <mergeCells count="12">
    <mergeCell ref="B7:L7"/>
    <mergeCell ref="B9:L9"/>
    <mergeCell ref="B10:L10"/>
    <mergeCell ref="B12:L12"/>
    <mergeCell ref="B1:M1"/>
    <mergeCell ref="B3:M3"/>
    <mergeCell ref="B4:M4"/>
    <mergeCell ref="B5:M5"/>
    <mergeCell ref="B6:L6"/>
    <mergeCell ref="B2:M2"/>
    <mergeCell ref="B11:L11"/>
    <mergeCell ref="B8:L8"/>
  </mergeCells>
  <phoneticPr fontId="32" type="noConversion"/>
  <dataValidations count="5">
    <dataValidation type="list" allowBlank="1" showInputMessage="1" showErrorMessage="1" sqref="K15:K1014" xr:uid="{00000000-0002-0000-0500-000000000000}">
      <formula1>INDIRECT(B14)</formula1>
    </dataValidation>
    <dataValidation type="textLength" allowBlank="1" showInputMessage="1" showErrorMessage="1" errorTitle="Max length" error="You can't enter more than 150 letters." sqref="L1:L7 B8 L9:L1048576" xr:uid="{00000000-0002-0000-0500-000001000000}">
      <formula1>1</formula1>
      <formula2>150</formula2>
    </dataValidation>
    <dataValidation type="list" allowBlank="1" showInputMessage="1" showErrorMessage="1" sqref="F1:F1048576" xr:uid="{00000000-0002-0000-0500-000006000000}">
      <formula1>INDIRECT(SUBSTITUTE(E1," ","_"))</formula1>
    </dataValidation>
    <dataValidation type="list" allowBlank="1" showInputMessage="1" showErrorMessage="1" sqref="H1:H1048576" xr:uid="{00000000-0002-0000-0500-000007000000}">
      <formula1>INDIRECT(SUBSTITUTE(B1," ","_"))</formula1>
    </dataValidation>
    <dataValidation type="decimal" allowBlank="1" showInputMessage="1" showErrorMessage="1" sqref="M14:M1014" xr:uid="{00000000-0002-0000-0500-000008000000}">
      <formula1>0</formula1>
      <formula2>99999999.99</formula2>
    </dataValidation>
  </dataValidations>
  <pageMargins left="0.7" right="0.7" top="0.75" bottom="0.75"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cellIs" priority="1" operator="equal" id="{2EC93EAC-D010-4138-8B40-7BBF12A9410F}">
            <xm:f>Lookup!$G$4</xm:f>
            <x14:dxf>
              <font>
                <color rgb="FF9C0006"/>
              </font>
              <fill>
                <patternFill>
                  <bgColor rgb="FFFFC7CE"/>
                </patternFill>
              </fill>
            </x14:dxf>
          </x14:cfRule>
          <x14:cfRule type="cellIs" priority="2" operator="equal" id="{38DD28D4-D96B-4DE9-A48E-57E290610B16}">
            <xm:f>Lookup!$G$3</xm:f>
            <x14:dxf>
              <font>
                <color rgb="FF9C5700"/>
              </font>
              <fill>
                <patternFill>
                  <bgColor rgb="FFFFEB9C"/>
                </patternFill>
              </fill>
            </x14:dxf>
          </x14:cfRule>
          <x14:cfRule type="cellIs" priority="3" operator="equal" id="{45206764-99A2-4C63-AB63-FB25BC308F9E}">
            <xm:f>Lookup!$G$2</xm:f>
            <x14:dxf>
              <font>
                <color rgb="FF006100"/>
              </font>
              <fill>
                <patternFill>
                  <bgColor rgb="FFC6EFCE"/>
                </patternFill>
              </fill>
            </x14:dxf>
          </x14:cfRule>
          <x14:cfRule type="cellIs" priority="4" operator="equal" id="{DA40D7B5-FB8B-4E89-A1F6-BDDFE66C5E62}">
            <xm:f>Lookup!$G$3</xm:f>
            <x14:dxf>
              <font>
                <color rgb="FF006100"/>
              </font>
              <fill>
                <patternFill>
                  <bgColor rgb="FFC6EFCE"/>
                </patternFill>
              </fill>
            </x14:dxf>
          </x14:cfRule>
          <x14:cfRule type="cellIs" priority="5" operator="equal" id="{E084C7D5-8935-4DAF-8098-CF8D4E5E7F8B}">
            <xm:f>Lookup!$G$2</xm:f>
            <x14:dxf>
              <font>
                <color rgb="FF9C0006"/>
              </font>
              <fill>
                <patternFill>
                  <bgColor rgb="FFFFC7CE"/>
                </patternFill>
              </fill>
            </x14:dxf>
          </x14:cfRule>
          <xm:sqref>C14:C1014</xm:sqref>
        </x14:conditionalFormatting>
      </x14:conditionalFormattings>
    </ext>
    <ext xmlns:x14="http://schemas.microsoft.com/office/spreadsheetml/2009/9/main" uri="{CCE6A557-97BC-4b89-ADB6-D9C93CAAB3DF}">
      <x14:dataValidations xmlns:xm="http://schemas.microsoft.com/office/excel/2006/main" count="7">
        <x14:dataValidation type="list" allowBlank="1" showInputMessage="1" showErrorMessage="1" xr:uid="{00000000-0002-0000-0500-000002000000}">
          <x14:formula1>
            <xm:f>'System Values'!$M$2:$M$3</xm:f>
          </x14:formula1>
          <xm:sqref>B13:B1014</xm:sqref>
        </x14:dataValidation>
        <x14:dataValidation type="list" allowBlank="1" showInputMessage="1" showErrorMessage="1" xr:uid="{00000000-0002-0000-0500-000003000000}">
          <x14:formula1>
            <xm:f>'System Values'!$N$2:$N$7</xm:f>
          </x14:formula1>
          <xm:sqref>C1:C1048576</xm:sqref>
        </x14:dataValidation>
        <x14:dataValidation type="list" allowBlank="1" showInputMessage="1" showErrorMessage="1" xr:uid="{00000000-0002-0000-0500-000004000000}">
          <x14:formula1>
            <xm:f>'System Values'!$O$2:$O$5</xm:f>
          </x14:formula1>
          <xm:sqref>D1:D1048576</xm:sqref>
        </x14:dataValidation>
        <x14:dataValidation type="list" allowBlank="1" showInputMessage="1" showErrorMessage="1" xr:uid="{00000000-0002-0000-0500-000005000000}">
          <x14:formula1>
            <xm:f>'Goods Data'!$D$2:$D$13</xm:f>
          </x14:formula1>
          <xm:sqref>E1:E1048576</xm:sqref>
        </x14:dataValidation>
        <x14:dataValidation type="list" allowBlank="1" showInputMessage="1" showErrorMessage="1" xr:uid="{00000000-0002-0000-0500-000009000000}">
          <x14:formula1>
            <xm:f>'System Values'!$U$2:$U$3</xm:f>
          </x14:formula1>
          <xm:sqref>J1:J1048576</xm:sqref>
        </x14:dataValidation>
        <x14:dataValidation type="list" allowBlank="1" showInputMessage="1" showErrorMessage="1" xr:uid="{00000000-0002-0000-0500-000003000000}">
          <x14:formula1>
            <xm:f>Lookup!$G$2:$G$4</xm:f>
          </x14:formula1>
          <xm:sqref>C14:C1014</xm:sqref>
        </x14:dataValidation>
        <x14:dataValidation type="list" allowBlank="1" showInputMessage="1" showErrorMessage="1" xr:uid="{00000000-0002-0000-0500-000004000000}">
          <x14:formula1>
            <xm:f>Lookup!$O$2:$S$2</xm:f>
          </x14:formula1>
          <xm:sqref>D14:D1014</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Q1011"/>
  <sheetViews>
    <sheetView workbookViewId="0">
      <selection activeCell="N13" sqref="N13"/>
    </sheetView>
  </sheetViews>
  <sheetFormatPr defaultColWidth="8.7109375" defaultRowHeight="15"/>
  <cols>
    <col min="1" max="1" width="4.28515625" style="234" customWidth="1"/>
    <col min="2" max="2" width="13.42578125" style="234" customWidth="1"/>
    <col min="3" max="3" width="13.140625" style="234" customWidth="1"/>
    <col min="4" max="4" width="26" style="234" customWidth="1"/>
    <col min="5" max="5" width="29.42578125" style="234" customWidth="1"/>
    <col min="6" max="6" width="20.140625" style="234" bestFit="1" customWidth="1"/>
    <col min="7" max="7" width="17.5703125" style="234" customWidth="1"/>
    <col min="8" max="8" width="27.7109375" style="234" customWidth="1"/>
    <col min="9" max="9" width="20.140625" style="234" customWidth="1"/>
    <col min="10" max="10" width="26.7109375" style="234" hidden="1" customWidth="1"/>
    <col min="11" max="11" width="23.140625" style="234" customWidth="1"/>
    <col min="12" max="12" width="20.140625" style="234" bestFit="1" customWidth="1"/>
    <col min="13" max="13" width="8.7109375" style="234" customWidth="1"/>
    <col min="14" max="14" width="8.7109375" customWidth="1"/>
    <col min="15" max="15" width="8.7109375" style="234" customWidth="1"/>
    <col min="16" max="16384" width="8.7109375" style="234"/>
  </cols>
  <sheetData>
    <row r="1" spans="1:43" s="339" customFormat="1" ht="21.75" customHeight="1" thickBot="1">
      <c r="A1" s="234"/>
      <c r="B1" s="113" t="s">
        <v>204</v>
      </c>
      <c r="C1" s="112"/>
      <c r="D1" s="112"/>
      <c r="E1" s="112"/>
      <c r="F1" s="112"/>
      <c r="G1" s="112"/>
      <c r="H1" s="112"/>
      <c r="I1" s="112"/>
      <c r="J1" s="112"/>
      <c r="K1" s="112"/>
      <c r="L1" s="112"/>
      <c r="M1" s="234"/>
      <c r="N1" s="234"/>
      <c r="O1" s="234"/>
      <c r="P1" s="234"/>
      <c r="Q1" s="234"/>
      <c r="R1" s="234"/>
      <c r="T1" s="340"/>
      <c r="U1" s="340"/>
      <c r="V1" s="340"/>
      <c r="W1" s="340"/>
      <c r="X1" s="340"/>
      <c r="Y1" s="340"/>
      <c r="Z1" s="340"/>
      <c r="AA1" s="340"/>
      <c r="AB1" s="340"/>
      <c r="AC1" s="340"/>
      <c r="AD1" s="340"/>
      <c r="AE1" s="340"/>
      <c r="AF1" s="340"/>
      <c r="AG1" s="340"/>
      <c r="AH1" s="340"/>
      <c r="AI1" s="340"/>
      <c r="AJ1" s="340"/>
      <c r="AK1" s="340"/>
      <c r="AL1" s="340"/>
      <c r="AM1" s="340"/>
      <c r="AN1" s="340"/>
      <c r="AO1" s="340"/>
      <c r="AP1" s="340"/>
      <c r="AQ1" s="341"/>
    </row>
    <row r="2" spans="1:43" customFormat="1" ht="25.5" customHeight="1">
      <c r="B2" s="33" t="s">
        <v>122</v>
      </c>
      <c r="C2" s="32"/>
      <c r="D2" s="32"/>
      <c r="E2" s="32"/>
      <c r="F2" s="32"/>
      <c r="G2" s="32"/>
      <c r="H2" s="32"/>
      <c r="I2" s="32"/>
      <c r="J2" s="32"/>
      <c r="K2" s="32"/>
      <c r="L2" s="32"/>
    </row>
    <row r="3" spans="1:43" customFormat="1" ht="15" customHeight="1">
      <c r="B3" s="54" t="s">
        <v>205</v>
      </c>
      <c r="C3" s="53"/>
      <c r="D3" s="53"/>
      <c r="E3" s="53"/>
      <c r="F3" s="53"/>
      <c r="G3" s="53"/>
      <c r="H3" s="53"/>
      <c r="I3" s="53"/>
      <c r="J3" s="53"/>
      <c r="K3" s="53"/>
      <c r="L3" s="53"/>
    </row>
    <row r="4" spans="1:43" customFormat="1" ht="15.75" customHeight="1">
      <c r="B4" s="52" t="s">
        <v>124</v>
      </c>
      <c r="C4" s="51"/>
      <c r="D4" s="51"/>
      <c r="E4" s="51"/>
      <c r="F4" s="51"/>
      <c r="G4" s="51"/>
      <c r="H4" s="51"/>
      <c r="I4" s="51"/>
      <c r="J4" s="51"/>
      <c r="K4" s="51"/>
      <c r="L4" s="51"/>
    </row>
    <row r="5" spans="1:43" customFormat="1" ht="15" customHeight="1" thickBot="1">
      <c r="B5" s="31" t="s">
        <v>206</v>
      </c>
      <c r="C5" s="30"/>
      <c r="D5" s="30"/>
      <c r="E5" s="30"/>
      <c r="F5" s="30"/>
      <c r="G5" s="30"/>
      <c r="H5" s="30"/>
      <c r="I5" s="30"/>
      <c r="J5" s="30"/>
      <c r="K5" s="30"/>
      <c r="L5" s="30"/>
    </row>
    <row r="6" spans="1:43" customFormat="1" ht="16.5" customHeight="1" thickBot="1">
      <c r="B6" s="42" t="s">
        <v>207</v>
      </c>
      <c r="C6" s="41"/>
      <c r="D6" s="41"/>
      <c r="E6" s="41"/>
      <c r="F6" s="41"/>
      <c r="G6" s="41"/>
      <c r="H6" s="41"/>
      <c r="I6" s="41"/>
      <c r="J6" s="41"/>
      <c r="K6" s="40"/>
      <c r="L6" s="332">
        <f>SUMIF(H11:H1444, "NRS", L11:L1444)</f>
        <v>0</v>
      </c>
    </row>
    <row r="7" spans="1:43" customFormat="1" ht="16.5" customHeight="1" thickBot="1">
      <c r="B7" s="39" t="s">
        <v>208</v>
      </c>
      <c r="C7" s="38"/>
      <c r="D7" s="38"/>
      <c r="E7" s="38"/>
      <c r="F7" s="38"/>
      <c r="G7" s="38"/>
      <c r="H7" s="38"/>
      <c r="I7" s="38"/>
      <c r="J7" s="38"/>
      <c r="K7" s="37"/>
      <c r="L7" s="332">
        <f>SUMIF(H11:H1444, "FRS", L11:L1444)</f>
        <v>0</v>
      </c>
    </row>
    <row r="8" spans="1:43" customFormat="1" ht="16.5" customHeight="1" thickBot="1">
      <c r="B8" s="36" t="s">
        <v>209</v>
      </c>
      <c r="C8" s="35"/>
      <c r="D8" s="35"/>
      <c r="E8" s="35"/>
      <c r="F8" s="35"/>
      <c r="G8" s="35"/>
      <c r="H8" s="35"/>
      <c r="I8" s="35"/>
      <c r="J8" s="35"/>
      <c r="K8" s="34"/>
      <c r="L8" s="332">
        <f>SUMIF(H11:H1444, "SME", L11:L1444)</f>
        <v>0</v>
      </c>
    </row>
    <row r="9" spans="1:43" customFormat="1" ht="16.5" customHeight="1" thickBot="1">
      <c r="B9" s="36" t="s">
        <v>210</v>
      </c>
      <c r="C9" s="35"/>
      <c r="D9" s="35"/>
      <c r="E9" s="35"/>
      <c r="F9" s="35"/>
      <c r="G9" s="35"/>
      <c r="H9" s="35"/>
      <c r="I9" s="35"/>
      <c r="J9" s="35"/>
      <c r="K9" s="34"/>
      <c r="L9" s="332">
        <f>SUMIF(I11:I1444, "Yes", L11:L1444)</f>
        <v>0</v>
      </c>
    </row>
    <row r="10" spans="1:43" customFormat="1" ht="30.75" customHeight="1" thickBot="1">
      <c r="B10" s="342" t="s">
        <v>165</v>
      </c>
      <c r="C10" s="343" t="s">
        <v>166</v>
      </c>
      <c r="D10" s="343" t="s">
        <v>211</v>
      </c>
      <c r="E10" s="343" t="s">
        <v>212</v>
      </c>
      <c r="F10" s="344" t="s">
        <v>213</v>
      </c>
      <c r="G10" s="344" t="s">
        <v>199</v>
      </c>
      <c r="H10" s="343" t="s">
        <v>200</v>
      </c>
      <c r="I10" s="344" t="s">
        <v>201</v>
      </c>
      <c r="J10" s="344" t="s">
        <v>202</v>
      </c>
      <c r="K10" s="344" t="s">
        <v>203</v>
      </c>
      <c r="L10" s="344" t="s">
        <v>132</v>
      </c>
      <c r="M10" s="257"/>
    </row>
    <row r="11" spans="1:43" customFormat="1" ht="16.5" customHeight="1">
      <c r="B11" s="345"/>
      <c r="C11" s="346"/>
      <c r="D11" s="273"/>
      <c r="E11" s="273"/>
      <c r="F11" s="273"/>
      <c r="G11" s="273"/>
      <c r="H11" s="347" t="str">
        <f t="shared" ref="H11:H74" si="0">IF(G11="Large","NRS",IF(G11="International","FRS",IF(G11="SME - Medium","SME",IF(G11="SME - Micro","SME",IF(G11="SME - Small","SME","")))))</f>
        <v/>
      </c>
      <c r="I11" s="274" t="str">
        <f t="shared" ref="I11:I74" si="1">IF(H11="FRS","No","")</f>
        <v/>
      </c>
      <c r="J11" s="335"/>
      <c r="K11" s="273"/>
      <c r="L11" s="348"/>
    </row>
    <row r="12" spans="1:43" customFormat="1" ht="15" customHeight="1">
      <c r="B12" s="345"/>
      <c r="C12" s="346"/>
      <c r="D12" s="273"/>
      <c r="E12" s="273"/>
      <c r="F12" s="349"/>
      <c r="G12" s="349"/>
      <c r="H12" s="347" t="str">
        <f t="shared" si="0"/>
        <v/>
      </c>
      <c r="I12" s="350" t="str">
        <f t="shared" si="1"/>
        <v/>
      </c>
      <c r="J12" s="335"/>
      <c r="K12" s="349"/>
      <c r="L12" s="348"/>
    </row>
    <row r="13" spans="1:43" customFormat="1" ht="17.25" customHeight="1">
      <c r="B13" s="345"/>
      <c r="C13" s="346"/>
      <c r="D13" s="273"/>
      <c r="E13" s="273"/>
      <c r="F13" s="273"/>
      <c r="G13" s="273"/>
      <c r="H13" s="347" t="str">
        <f t="shared" si="0"/>
        <v/>
      </c>
      <c r="I13" s="274" t="str">
        <f t="shared" si="1"/>
        <v/>
      </c>
      <c r="J13" s="335"/>
      <c r="K13" s="273"/>
      <c r="L13" s="348"/>
    </row>
    <row r="14" spans="1:43" customFormat="1" ht="15" customHeight="1">
      <c r="B14" s="345"/>
      <c r="C14" s="346"/>
      <c r="D14" s="273"/>
      <c r="E14" s="273"/>
      <c r="F14" s="349"/>
      <c r="G14" s="349"/>
      <c r="H14" s="347" t="str">
        <f t="shared" si="0"/>
        <v/>
      </c>
      <c r="I14" s="350" t="str">
        <f t="shared" si="1"/>
        <v/>
      </c>
      <c r="J14" s="335"/>
      <c r="K14" s="349"/>
      <c r="L14" s="348"/>
    </row>
    <row r="15" spans="1:43" customFormat="1" ht="15" customHeight="1">
      <c r="B15" s="345"/>
      <c r="C15" s="346"/>
      <c r="D15" s="273"/>
      <c r="E15" s="273"/>
      <c r="F15" s="273"/>
      <c r="G15" s="273"/>
      <c r="H15" s="347" t="str">
        <f t="shared" si="0"/>
        <v/>
      </c>
      <c r="I15" s="274" t="str">
        <f t="shared" si="1"/>
        <v/>
      </c>
      <c r="J15" s="335"/>
      <c r="K15" s="273"/>
      <c r="L15" s="348"/>
    </row>
    <row r="16" spans="1:43" customFormat="1" ht="18" customHeight="1">
      <c r="B16" s="345"/>
      <c r="C16" s="346"/>
      <c r="D16" s="273"/>
      <c r="E16" s="273"/>
      <c r="F16" s="349"/>
      <c r="G16" s="349"/>
      <c r="H16" s="347" t="str">
        <f t="shared" si="0"/>
        <v/>
      </c>
      <c r="I16" s="350" t="str">
        <f t="shared" si="1"/>
        <v/>
      </c>
      <c r="J16" s="335"/>
      <c r="K16" s="349"/>
      <c r="L16" s="348"/>
    </row>
    <row r="17" spans="2:12" customFormat="1" ht="15" customHeight="1">
      <c r="B17" s="345"/>
      <c r="C17" s="346"/>
      <c r="D17" s="273"/>
      <c r="E17" s="273"/>
      <c r="F17" s="273"/>
      <c r="G17" s="273"/>
      <c r="H17" s="347" t="str">
        <f t="shared" si="0"/>
        <v/>
      </c>
      <c r="I17" s="274" t="str">
        <f t="shared" si="1"/>
        <v/>
      </c>
      <c r="J17" s="335"/>
      <c r="K17" s="273"/>
      <c r="L17" s="348"/>
    </row>
    <row r="18" spans="2:12">
      <c r="B18" s="345"/>
      <c r="C18" s="346"/>
      <c r="D18" s="273"/>
      <c r="E18" s="273"/>
      <c r="F18" s="349"/>
      <c r="G18" s="349"/>
      <c r="H18" s="347" t="str">
        <f t="shared" si="0"/>
        <v/>
      </c>
      <c r="I18" s="350" t="str">
        <f t="shared" si="1"/>
        <v/>
      </c>
      <c r="J18" s="335"/>
      <c r="K18" s="349"/>
      <c r="L18" s="348"/>
    </row>
    <row r="19" spans="2:12" customFormat="1" ht="15.75" customHeight="1">
      <c r="B19" s="345"/>
      <c r="C19" s="346"/>
      <c r="D19" s="273"/>
      <c r="E19" s="273"/>
      <c r="F19" s="273"/>
      <c r="G19" s="273"/>
      <c r="H19" s="347" t="str">
        <f t="shared" si="0"/>
        <v/>
      </c>
      <c r="I19" s="274" t="str">
        <f t="shared" si="1"/>
        <v/>
      </c>
      <c r="J19" s="335"/>
      <c r="K19" s="273"/>
      <c r="L19" s="348"/>
    </row>
    <row r="20" spans="2:12" customFormat="1" ht="15" customHeight="1">
      <c r="B20" s="345"/>
      <c r="C20" s="346"/>
      <c r="D20" s="273"/>
      <c r="E20" s="273"/>
      <c r="F20" s="349"/>
      <c r="G20" s="349"/>
      <c r="H20" s="347" t="str">
        <f t="shared" si="0"/>
        <v/>
      </c>
      <c r="I20" s="350" t="str">
        <f t="shared" si="1"/>
        <v/>
      </c>
      <c r="J20" s="335"/>
      <c r="K20" s="349"/>
      <c r="L20" s="348"/>
    </row>
    <row r="21" spans="2:12" customFormat="1" ht="15" customHeight="1">
      <c r="B21" s="345"/>
      <c r="C21" s="346"/>
      <c r="D21" s="273"/>
      <c r="E21" s="273"/>
      <c r="F21" s="273"/>
      <c r="G21" s="273"/>
      <c r="H21" s="347" t="str">
        <f t="shared" si="0"/>
        <v/>
      </c>
      <c r="I21" s="274" t="str">
        <f t="shared" si="1"/>
        <v/>
      </c>
      <c r="J21" s="335"/>
      <c r="K21" s="273"/>
      <c r="L21" s="348"/>
    </row>
    <row r="22" spans="2:12" customFormat="1" ht="18" customHeight="1">
      <c r="B22" s="345"/>
      <c r="C22" s="346"/>
      <c r="D22" s="273"/>
      <c r="E22" s="273"/>
      <c r="F22" s="349"/>
      <c r="G22" s="349"/>
      <c r="H22" s="347" t="str">
        <f t="shared" si="0"/>
        <v/>
      </c>
      <c r="I22" s="350" t="str">
        <f t="shared" si="1"/>
        <v/>
      </c>
      <c r="J22" s="335"/>
      <c r="K22" s="349"/>
      <c r="L22" s="348"/>
    </row>
    <row r="23" spans="2:12">
      <c r="B23" s="345"/>
      <c r="C23" s="346"/>
      <c r="D23" s="273"/>
      <c r="E23" s="273"/>
      <c r="F23" s="273"/>
      <c r="G23" s="273"/>
      <c r="H23" s="347" t="str">
        <f t="shared" si="0"/>
        <v/>
      </c>
      <c r="I23" s="274" t="str">
        <f t="shared" si="1"/>
        <v/>
      </c>
      <c r="J23" s="335"/>
      <c r="K23" s="273"/>
      <c r="L23" s="348"/>
    </row>
    <row r="24" spans="2:12">
      <c r="B24" s="345"/>
      <c r="C24" s="346"/>
      <c r="D24" s="273"/>
      <c r="E24" s="273"/>
      <c r="F24" s="349"/>
      <c r="G24" s="349"/>
      <c r="H24" s="347" t="str">
        <f t="shared" si="0"/>
        <v/>
      </c>
      <c r="I24" s="350" t="str">
        <f t="shared" si="1"/>
        <v/>
      </c>
      <c r="J24" s="335"/>
      <c r="K24" s="349"/>
      <c r="L24" s="348"/>
    </row>
    <row r="25" spans="2:12" customFormat="1" ht="15.75" customHeight="1">
      <c r="B25" s="345"/>
      <c r="C25" s="346"/>
      <c r="D25" s="273"/>
      <c r="E25" s="273"/>
      <c r="F25" s="273"/>
      <c r="G25" s="273"/>
      <c r="H25" s="347" t="str">
        <f t="shared" si="0"/>
        <v/>
      </c>
      <c r="I25" s="274" t="str">
        <f t="shared" si="1"/>
        <v/>
      </c>
      <c r="J25" s="335"/>
      <c r="K25" s="273"/>
      <c r="L25" s="348"/>
    </row>
    <row r="26" spans="2:12" customFormat="1" ht="15.75" customHeight="1">
      <c r="B26" s="345"/>
      <c r="C26" s="346"/>
      <c r="D26" s="273"/>
      <c r="E26" s="273"/>
      <c r="F26" s="273"/>
      <c r="G26" s="273"/>
      <c r="H26" s="347" t="str">
        <f t="shared" si="0"/>
        <v/>
      </c>
      <c r="I26" s="274" t="str">
        <f t="shared" si="1"/>
        <v/>
      </c>
      <c r="J26" s="335"/>
      <c r="K26" s="273"/>
      <c r="L26" s="348"/>
    </row>
    <row r="27" spans="2:12" customFormat="1" ht="15.75" customHeight="1">
      <c r="B27" s="345"/>
      <c r="C27" s="346"/>
      <c r="D27" s="273"/>
      <c r="E27" s="273"/>
      <c r="F27" s="273"/>
      <c r="G27" s="273"/>
      <c r="H27" s="347" t="str">
        <f t="shared" si="0"/>
        <v/>
      </c>
      <c r="I27" s="274" t="str">
        <f t="shared" si="1"/>
        <v/>
      </c>
      <c r="J27" s="335"/>
      <c r="K27" s="273"/>
      <c r="L27" s="348"/>
    </row>
    <row r="28" spans="2:12" customFormat="1" ht="15.75" customHeight="1">
      <c r="B28" s="345"/>
      <c r="C28" s="346"/>
      <c r="D28" s="273"/>
      <c r="E28" s="273"/>
      <c r="F28" s="273"/>
      <c r="G28" s="273"/>
      <c r="H28" s="347" t="str">
        <f t="shared" si="0"/>
        <v/>
      </c>
      <c r="I28" s="274" t="str">
        <f t="shared" si="1"/>
        <v/>
      </c>
      <c r="J28" s="335"/>
      <c r="K28" s="273"/>
      <c r="L28" s="348"/>
    </row>
    <row r="29" spans="2:12">
      <c r="B29" s="345"/>
      <c r="C29" s="346"/>
      <c r="D29" s="273"/>
      <c r="E29" s="273"/>
      <c r="F29" s="273"/>
      <c r="G29" s="273"/>
      <c r="H29" s="347" t="str">
        <f t="shared" si="0"/>
        <v/>
      </c>
      <c r="I29" s="274" t="str">
        <f t="shared" si="1"/>
        <v/>
      </c>
      <c r="J29" s="335"/>
      <c r="K29" s="273"/>
      <c r="L29" s="348"/>
    </row>
    <row r="30" spans="2:12">
      <c r="B30" s="345"/>
      <c r="C30" s="346"/>
      <c r="D30" s="273"/>
      <c r="E30" s="273"/>
      <c r="F30" s="273"/>
      <c r="G30" s="273"/>
      <c r="H30" s="347" t="str">
        <f t="shared" si="0"/>
        <v/>
      </c>
      <c r="I30" s="274" t="str">
        <f t="shared" si="1"/>
        <v/>
      </c>
      <c r="J30" s="335"/>
      <c r="K30" s="273"/>
      <c r="L30" s="348"/>
    </row>
    <row r="31" spans="2:12">
      <c r="B31" s="345"/>
      <c r="C31" s="346"/>
      <c r="D31" s="273"/>
      <c r="E31" s="273"/>
      <c r="F31" s="273"/>
      <c r="G31" s="273"/>
      <c r="H31" s="347" t="str">
        <f t="shared" si="0"/>
        <v/>
      </c>
      <c r="I31" s="274" t="str">
        <f t="shared" si="1"/>
        <v/>
      </c>
      <c r="J31" s="335"/>
      <c r="K31" s="273"/>
      <c r="L31" s="348"/>
    </row>
    <row r="32" spans="2:12">
      <c r="B32" s="345"/>
      <c r="C32" s="346"/>
      <c r="D32" s="273"/>
      <c r="E32" s="273"/>
      <c r="F32" s="273"/>
      <c r="G32" s="273"/>
      <c r="H32" s="347" t="str">
        <f t="shared" si="0"/>
        <v/>
      </c>
      <c r="I32" s="274" t="str">
        <f t="shared" si="1"/>
        <v/>
      </c>
      <c r="J32" s="335"/>
      <c r="K32" s="273"/>
      <c r="L32" s="348"/>
    </row>
    <row r="33" spans="2:12">
      <c r="B33" s="345"/>
      <c r="C33" s="346"/>
      <c r="D33" s="273"/>
      <c r="E33" s="273"/>
      <c r="F33" s="273"/>
      <c r="G33" s="273"/>
      <c r="H33" s="347" t="str">
        <f t="shared" si="0"/>
        <v/>
      </c>
      <c r="I33" s="274" t="str">
        <f t="shared" si="1"/>
        <v/>
      </c>
      <c r="J33" s="335"/>
      <c r="K33" s="273"/>
      <c r="L33" s="348"/>
    </row>
    <row r="34" spans="2:12">
      <c r="B34" s="345"/>
      <c r="C34" s="346"/>
      <c r="D34" s="273"/>
      <c r="E34" s="273"/>
      <c r="F34" s="273"/>
      <c r="G34" s="273"/>
      <c r="H34" s="347" t="str">
        <f t="shared" si="0"/>
        <v/>
      </c>
      <c r="I34" s="274" t="str">
        <f t="shared" si="1"/>
        <v/>
      </c>
      <c r="J34" s="335"/>
      <c r="K34" s="273"/>
      <c r="L34" s="348"/>
    </row>
    <row r="35" spans="2:12">
      <c r="B35" s="345"/>
      <c r="C35" s="346"/>
      <c r="D35" s="273"/>
      <c r="E35" s="273"/>
      <c r="F35" s="273"/>
      <c r="G35" s="273"/>
      <c r="H35" s="347" t="str">
        <f t="shared" si="0"/>
        <v/>
      </c>
      <c r="I35" s="274" t="str">
        <f t="shared" si="1"/>
        <v/>
      </c>
      <c r="J35" s="335"/>
      <c r="K35" s="273"/>
      <c r="L35" s="348"/>
    </row>
    <row r="36" spans="2:12">
      <c r="B36" s="345"/>
      <c r="C36" s="346"/>
      <c r="D36" s="273"/>
      <c r="E36" s="273"/>
      <c r="F36" s="273"/>
      <c r="G36" s="273"/>
      <c r="H36" s="347" t="str">
        <f t="shared" si="0"/>
        <v/>
      </c>
      <c r="I36" s="274" t="str">
        <f t="shared" si="1"/>
        <v/>
      </c>
      <c r="J36" s="335"/>
      <c r="K36" s="273"/>
      <c r="L36" s="348"/>
    </row>
    <row r="37" spans="2:12">
      <c r="B37" s="345"/>
      <c r="C37" s="346"/>
      <c r="D37" s="273"/>
      <c r="E37" s="273"/>
      <c r="F37" s="273"/>
      <c r="G37" s="273"/>
      <c r="H37" s="347" t="str">
        <f t="shared" si="0"/>
        <v/>
      </c>
      <c r="I37" s="274" t="str">
        <f t="shared" si="1"/>
        <v/>
      </c>
      <c r="J37" s="335"/>
      <c r="K37" s="273"/>
      <c r="L37" s="348"/>
    </row>
    <row r="38" spans="2:12">
      <c r="B38" s="345"/>
      <c r="C38" s="346"/>
      <c r="D38" s="273"/>
      <c r="E38" s="273"/>
      <c r="F38" s="273"/>
      <c r="G38" s="273"/>
      <c r="H38" s="347" t="str">
        <f t="shared" si="0"/>
        <v/>
      </c>
      <c r="I38" s="274" t="str">
        <f t="shared" si="1"/>
        <v/>
      </c>
      <c r="J38" s="335"/>
      <c r="K38" s="273"/>
      <c r="L38" s="348"/>
    </row>
    <row r="39" spans="2:12">
      <c r="B39" s="345"/>
      <c r="C39" s="346"/>
      <c r="D39" s="273"/>
      <c r="E39" s="273"/>
      <c r="F39" s="273"/>
      <c r="G39" s="273"/>
      <c r="H39" s="347" t="str">
        <f t="shared" si="0"/>
        <v/>
      </c>
      <c r="I39" s="274" t="str">
        <f t="shared" si="1"/>
        <v/>
      </c>
      <c r="J39" s="335"/>
      <c r="K39" s="273"/>
      <c r="L39" s="348"/>
    </row>
    <row r="40" spans="2:12">
      <c r="B40" s="345"/>
      <c r="C40" s="346"/>
      <c r="D40" s="273"/>
      <c r="E40" s="273"/>
      <c r="F40" s="273"/>
      <c r="G40" s="273"/>
      <c r="H40" s="347" t="str">
        <f t="shared" si="0"/>
        <v/>
      </c>
      <c r="I40" s="274" t="str">
        <f t="shared" si="1"/>
        <v/>
      </c>
      <c r="J40" s="335"/>
      <c r="K40" s="273"/>
      <c r="L40" s="348"/>
    </row>
    <row r="41" spans="2:12">
      <c r="B41" s="345"/>
      <c r="C41" s="346"/>
      <c r="D41" s="273"/>
      <c r="E41" s="273"/>
      <c r="F41" s="273"/>
      <c r="G41" s="273"/>
      <c r="H41" s="347" t="str">
        <f t="shared" si="0"/>
        <v/>
      </c>
      <c r="I41" s="274" t="str">
        <f t="shared" si="1"/>
        <v/>
      </c>
      <c r="J41" s="335"/>
      <c r="K41" s="273"/>
      <c r="L41" s="348"/>
    </row>
    <row r="42" spans="2:12">
      <c r="B42" s="345"/>
      <c r="C42" s="346"/>
      <c r="D42" s="273"/>
      <c r="E42" s="273"/>
      <c r="F42" s="273"/>
      <c r="G42" s="273"/>
      <c r="H42" s="347" t="str">
        <f t="shared" si="0"/>
        <v/>
      </c>
      <c r="I42" s="274" t="str">
        <f t="shared" si="1"/>
        <v/>
      </c>
      <c r="J42" s="335"/>
      <c r="K42" s="273"/>
      <c r="L42" s="348"/>
    </row>
    <row r="43" spans="2:12">
      <c r="B43" s="345"/>
      <c r="C43" s="346"/>
      <c r="D43" s="273"/>
      <c r="E43" s="273"/>
      <c r="F43" s="273"/>
      <c r="G43" s="273"/>
      <c r="H43" s="347" t="str">
        <f t="shared" si="0"/>
        <v/>
      </c>
      <c r="I43" s="274" t="str">
        <f t="shared" si="1"/>
        <v/>
      </c>
      <c r="J43" s="335"/>
      <c r="K43" s="273"/>
      <c r="L43" s="348"/>
    </row>
    <row r="44" spans="2:12">
      <c r="B44" s="345"/>
      <c r="C44" s="346"/>
      <c r="D44" s="273"/>
      <c r="E44" s="273"/>
      <c r="F44" s="273"/>
      <c r="G44" s="273"/>
      <c r="H44" s="347" t="str">
        <f t="shared" si="0"/>
        <v/>
      </c>
      <c r="I44" s="274" t="str">
        <f t="shared" si="1"/>
        <v/>
      </c>
      <c r="J44" s="335"/>
      <c r="K44" s="273"/>
      <c r="L44" s="348"/>
    </row>
    <row r="45" spans="2:12">
      <c r="B45" s="345"/>
      <c r="C45" s="346"/>
      <c r="D45" s="273"/>
      <c r="E45" s="273"/>
      <c r="F45" s="273"/>
      <c r="G45" s="273"/>
      <c r="H45" s="347" t="str">
        <f t="shared" si="0"/>
        <v/>
      </c>
      <c r="I45" s="274" t="str">
        <f t="shared" si="1"/>
        <v/>
      </c>
      <c r="J45" s="335"/>
      <c r="K45" s="273"/>
      <c r="L45" s="348"/>
    </row>
    <row r="46" spans="2:12">
      <c r="B46" s="345"/>
      <c r="C46" s="346"/>
      <c r="D46" s="273"/>
      <c r="E46" s="273"/>
      <c r="F46" s="273"/>
      <c r="G46" s="273"/>
      <c r="H46" s="347" t="str">
        <f t="shared" si="0"/>
        <v/>
      </c>
      <c r="I46" s="274" t="str">
        <f t="shared" si="1"/>
        <v/>
      </c>
      <c r="J46" s="335"/>
      <c r="K46" s="273"/>
      <c r="L46" s="348"/>
    </row>
    <row r="47" spans="2:12">
      <c r="B47" s="345"/>
      <c r="C47" s="346"/>
      <c r="D47" s="273"/>
      <c r="E47" s="273"/>
      <c r="F47" s="273"/>
      <c r="G47" s="273"/>
      <c r="H47" s="347" t="str">
        <f t="shared" si="0"/>
        <v/>
      </c>
      <c r="I47" s="274" t="str">
        <f t="shared" si="1"/>
        <v/>
      </c>
      <c r="J47" s="335"/>
      <c r="K47" s="273"/>
      <c r="L47" s="348"/>
    </row>
    <row r="48" spans="2:12">
      <c r="B48" s="345"/>
      <c r="C48" s="346"/>
      <c r="D48" s="273"/>
      <c r="E48" s="273"/>
      <c r="F48" s="273"/>
      <c r="G48" s="273"/>
      <c r="H48" s="347" t="str">
        <f t="shared" si="0"/>
        <v/>
      </c>
      <c r="I48" s="274" t="str">
        <f t="shared" si="1"/>
        <v/>
      </c>
      <c r="J48" s="335"/>
      <c r="K48" s="273"/>
      <c r="L48" s="348"/>
    </row>
    <row r="49" spans="2:12">
      <c r="B49" s="345"/>
      <c r="C49" s="346"/>
      <c r="D49" s="273"/>
      <c r="E49" s="273"/>
      <c r="F49" s="273"/>
      <c r="G49" s="273"/>
      <c r="H49" s="347" t="str">
        <f t="shared" si="0"/>
        <v/>
      </c>
      <c r="I49" s="274" t="str">
        <f t="shared" si="1"/>
        <v/>
      </c>
      <c r="J49" s="335"/>
      <c r="K49" s="273"/>
      <c r="L49" s="348"/>
    </row>
    <row r="50" spans="2:12">
      <c r="B50" s="345"/>
      <c r="C50" s="346"/>
      <c r="D50" s="273"/>
      <c r="E50" s="273"/>
      <c r="F50" s="273"/>
      <c r="G50" s="273"/>
      <c r="H50" s="347" t="str">
        <f t="shared" si="0"/>
        <v/>
      </c>
      <c r="I50" s="274" t="str">
        <f t="shared" si="1"/>
        <v/>
      </c>
      <c r="J50" s="335"/>
      <c r="K50" s="273"/>
      <c r="L50" s="348"/>
    </row>
    <row r="51" spans="2:12">
      <c r="B51" s="345"/>
      <c r="C51" s="346"/>
      <c r="D51" s="273"/>
      <c r="E51" s="273"/>
      <c r="F51" s="273"/>
      <c r="G51" s="273"/>
      <c r="H51" s="347" t="str">
        <f t="shared" si="0"/>
        <v/>
      </c>
      <c r="I51" s="274" t="str">
        <f t="shared" si="1"/>
        <v/>
      </c>
      <c r="J51" s="335"/>
      <c r="K51" s="273"/>
      <c r="L51" s="348"/>
    </row>
    <row r="52" spans="2:12">
      <c r="B52" s="345"/>
      <c r="C52" s="346"/>
      <c r="D52" s="273"/>
      <c r="E52" s="273"/>
      <c r="F52" s="273"/>
      <c r="G52" s="273"/>
      <c r="H52" s="347" t="str">
        <f t="shared" si="0"/>
        <v/>
      </c>
      <c r="I52" s="274" t="str">
        <f t="shared" si="1"/>
        <v/>
      </c>
      <c r="J52" s="335"/>
      <c r="K52" s="273"/>
      <c r="L52" s="348"/>
    </row>
    <row r="53" spans="2:12">
      <c r="B53" s="345"/>
      <c r="C53" s="346"/>
      <c r="D53" s="273"/>
      <c r="E53" s="273"/>
      <c r="F53" s="273"/>
      <c r="G53" s="273"/>
      <c r="H53" s="347" t="str">
        <f t="shared" si="0"/>
        <v/>
      </c>
      <c r="I53" s="274" t="str">
        <f t="shared" si="1"/>
        <v/>
      </c>
      <c r="J53" s="335"/>
      <c r="K53" s="273"/>
      <c r="L53" s="348"/>
    </row>
    <row r="54" spans="2:12">
      <c r="B54" s="345"/>
      <c r="C54" s="346"/>
      <c r="D54" s="273"/>
      <c r="E54" s="273"/>
      <c r="F54" s="273"/>
      <c r="G54" s="273"/>
      <c r="H54" s="347" t="str">
        <f t="shared" si="0"/>
        <v/>
      </c>
      <c r="I54" s="274" t="str">
        <f t="shared" si="1"/>
        <v/>
      </c>
      <c r="J54" s="335"/>
      <c r="K54" s="273"/>
      <c r="L54" s="348"/>
    </row>
    <row r="55" spans="2:12">
      <c r="B55" s="345"/>
      <c r="C55" s="346"/>
      <c r="D55" s="273"/>
      <c r="E55" s="273"/>
      <c r="F55" s="273"/>
      <c r="G55" s="273"/>
      <c r="H55" s="347" t="str">
        <f t="shared" si="0"/>
        <v/>
      </c>
      <c r="I55" s="274" t="str">
        <f t="shared" si="1"/>
        <v/>
      </c>
      <c r="J55" s="335"/>
      <c r="K55" s="273"/>
      <c r="L55" s="348"/>
    </row>
    <row r="56" spans="2:12">
      <c r="B56" s="345"/>
      <c r="C56" s="346"/>
      <c r="D56" s="273"/>
      <c r="E56" s="273"/>
      <c r="F56" s="273"/>
      <c r="G56" s="273"/>
      <c r="H56" s="347" t="str">
        <f t="shared" si="0"/>
        <v/>
      </c>
      <c r="I56" s="274" t="str">
        <f t="shared" si="1"/>
        <v/>
      </c>
      <c r="J56" s="335"/>
      <c r="K56" s="273"/>
      <c r="L56" s="348"/>
    </row>
    <row r="57" spans="2:12">
      <c r="B57" s="345"/>
      <c r="C57" s="346"/>
      <c r="D57" s="273"/>
      <c r="E57" s="273"/>
      <c r="F57" s="273"/>
      <c r="G57" s="273"/>
      <c r="H57" s="347" t="str">
        <f t="shared" si="0"/>
        <v/>
      </c>
      <c r="I57" s="274" t="str">
        <f t="shared" si="1"/>
        <v/>
      </c>
      <c r="J57" s="335"/>
      <c r="K57" s="273"/>
      <c r="L57" s="348"/>
    </row>
    <row r="58" spans="2:12">
      <c r="B58" s="345"/>
      <c r="C58" s="346"/>
      <c r="D58" s="273"/>
      <c r="E58" s="273"/>
      <c r="F58" s="273"/>
      <c r="G58" s="273"/>
      <c r="H58" s="347" t="str">
        <f t="shared" si="0"/>
        <v/>
      </c>
      <c r="I58" s="274" t="str">
        <f t="shared" si="1"/>
        <v/>
      </c>
      <c r="J58" s="335"/>
      <c r="K58" s="273"/>
      <c r="L58" s="348"/>
    </row>
    <row r="59" spans="2:12">
      <c r="B59" s="345"/>
      <c r="C59" s="346"/>
      <c r="D59" s="273"/>
      <c r="E59" s="273"/>
      <c r="F59" s="273"/>
      <c r="G59" s="273"/>
      <c r="H59" s="347" t="str">
        <f t="shared" si="0"/>
        <v/>
      </c>
      <c r="I59" s="274" t="str">
        <f t="shared" si="1"/>
        <v/>
      </c>
      <c r="J59" s="335"/>
      <c r="K59" s="273"/>
      <c r="L59" s="348"/>
    </row>
    <row r="60" spans="2:12">
      <c r="B60" s="345"/>
      <c r="C60" s="346"/>
      <c r="D60" s="273"/>
      <c r="E60" s="273"/>
      <c r="F60" s="273"/>
      <c r="G60" s="273"/>
      <c r="H60" s="347" t="str">
        <f t="shared" si="0"/>
        <v/>
      </c>
      <c r="I60" s="274" t="str">
        <f t="shared" si="1"/>
        <v/>
      </c>
      <c r="J60" s="335"/>
      <c r="K60" s="273"/>
      <c r="L60" s="348"/>
    </row>
    <row r="61" spans="2:12">
      <c r="B61" s="345"/>
      <c r="C61" s="346"/>
      <c r="D61" s="273"/>
      <c r="E61" s="273"/>
      <c r="F61" s="273"/>
      <c r="G61" s="273"/>
      <c r="H61" s="347" t="str">
        <f t="shared" si="0"/>
        <v/>
      </c>
      <c r="I61" s="274" t="str">
        <f t="shared" si="1"/>
        <v/>
      </c>
      <c r="J61" s="335"/>
      <c r="K61" s="273"/>
      <c r="L61" s="348"/>
    </row>
    <row r="62" spans="2:12">
      <c r="B62" s="345"/>
      <c r="C62" s="346"/>
      <c r="D62" s="273"/>
      <c r="E62" s="273"/>
      <c r="F62" s="273"/>
      <c r="G62" s="273"/>
      <c r="H62" s="347" t="str">
        <f t="shared" si="0"/>
        <v/>
      </c>
      <c r="I62" s="274" t="str">
        <f t="shared" si="1"/>
        <v/>
      </c>
      <c r="J62" s="335"/>
      <c r="K62" s="273"/>
      <c r="L62" s="348"/>
    </row>
    <row r="63" spans="2:12">
      <c r="B63" s="345"/>
      <c r="C63" s="346"/>
      <c r="D63" s="273"/>
      <c r="E63" s="273"/>
      <c r="F63" s="273"/>
      <c r="G63" s="273"/>
      <c r="H63" s="347" t="str">
        <f t="shared" si="0"/>
        <v/>
      </c>
      <c r="I63" s="274" t="str">
        <f t="shared" si="1"/>
        <v/>
      </c>
      <c r="J63" s="335"/>
      <c r="K63" s="273"/>
      <c r="L63" s="348"/>
    </row>
    <row r="64" spans="2:12">
      <c r="B64" s="345"/>
      <c r="C64" s="346"/>
      <c r="D64" s="273"/>
      <c r="E64" s="273"/>
      <c r="F64" s="273"/>
      <c r="G64" s="273"/>
      <c r="H64" s="347" t="str">
        <f t="shared" si="0"/>
        <v/>
      </c>
      <c r="I64" s="274" t="str">
        <f t="shared" si="1"/>
        <v/>
      </c>
      <c r="J64" s="335"/>
      <c r="K64" s="273"/>
      <c r="L64" s="348"/>
    </row>
    <row r="65" spans="2:12">
      <c r="B65" s="345"/>
      <c r="C65" s="346"/>
      <c r="D65" s="273"/>
      <c r="E65" s="273"/>
      <c r="F65" s="273"/>
      <c r="G65" s="273"/>
      <c r="H65" s="347" t="str">
        <f t="shared" si="0"/>
        <v/>
      </c>
      <c r="I65" s="274" t="str">
        <f t="shared" si="1"/>
        <v/>
      </c>
      <c r="J65" s="335"/>
      <c r="K65" s="273"/>
      <c r="L65" s="348"/>
    </row>
    <row r="66" spans="2:12">
      <c r="B66" s="345"/>
      <c r="C66" s="346"/>
      <c r="D66" s="273"/>
      <c r="E66" s="273"/>
      <c r="F66" s="273"/>
      <c r="G66" s="273"/>
      <c r="H66" s="347" t="str">
        <f t="shared" si="0"/>
        <v/>
      </c>
      <c r="I66" s="274" t="str">
        <f t="shared" si="1"/>
        <v/>
      </c>
      <c r="J66" s="335"/>
      <c r="K66" s="273"/>
      <c r="L66" s="348"/>
    </row>
    <row r="67" spans="2:12">
      <c r="B67" s="345"/>
      <c r="C67" s="346"/>
      <c r="D67" s="273"/>
      <c r="E67" s="273"/>
      <c r="F67" s="273"/>
      <c r="G67" s="273"/>
      <c r="H67" s="347" t="str">
        <f t="shared" si="0"/>
        <v/>
      </c>
      <c r="I67" s="274" t="str">
        <f t="shared" si="1"/>
        <v/>
      </c>
      <c r="J67" s="335"/>
      <c r="K67" s="273"/>
      <c r="L67" s="348"/>
    </row>
    <row r="68" spans="2:12">
      <c r="B68" s="345"/>
      <c r="C68" s="346"/>
      <c r="D68" s="273"/>
      <c r="E68" s="273"/>
      <c r="F68" s="273"/>
      <c r="G68" s="273"/>
      <c r="H68" s="347" t="str">
        <f t="shared" si="0"/>
        <v/>
      </c>
      <c r="I68" s="274" t="str">
        <f t="shared" si="1"/>
        <v/>
      </c>
      <c r="J68" s="335"/>
      <c r="K68" s="273"/>
      <c r="L68" s="348"/>
    </row>
    <row r="69" spans="2:12">
      <c r="B69" s="345"/>
      <c r="C69" s="346"/>
      <c r="D69" s="273"/>
      <c r="E69" s="273"/>
      <c r="F69" s="273"/>
      <c r="G69" s="273"/>
      <c r="H69" s="347" t="str">
        <f t="shared" si="0"/>
        <v/>
      </c>
      <c r="I69" s="274" t="str">
        <f t="shared" si="1"/>
        <v/>
      </c>
      <c r="J69" s="335"/>
      <c r="K69" s="273"/>
      <c r="L69" s="348"/>
    </row>
    <row r="70" spans="2:12">
      <c r="B70" s="345"/>
      <c r="C70" s="346"/>
      <c r="D70" s="273"/>
      <c r="E70" s="273"/>
      <c r="F70" s="273"/>
      <c r="G70" s="273"/>
      <c r="H70" s="347" t="str">
        <f t="shared" si="0"/>
        <v/>
      </c>
      <c r="I70" s="274" t="str">
        <f t="shared" si="1"/>
        <v/>
      </c>
      <c r="J70" s="335"/>
      <c r="K70" s="273"/>
      <c r="L70" s="348"/>
    </row>
    <row r="71" spans="2:12">
      <c r="B71" s="345"/>
      <c r="C71" s="346"/>
      <c r="D71" s="273"/>
      <c r="E71" s="273"/>
      <c r="F71" s="273"/>
      <c r="G71" s="273"/>
      <c r="H71" s="347" t="str">
        <f t="shared" si="0"/>
        <v/>
      </c>
      <c r="I71" s="274" t="str">
        <f t="shared" si="1"/>
        <v/>
      </c>
      <c r="J71" s="335"/>
      <c r="K71" s="273"/>
      <c r="L71" s="348"/>
    </row>
    <row r="72" spans="2:12">
      <c r="B72" s="345"/>
      <c r="C72" s="346"/>
      <c r="D72" s="273"/>
      <c r="E72" s="273"/>
      <c r="F72" s="273"/>
      <c r="G72" s="273"/>
      <c r="H72" s="347" t="str">
        <f t="shared" si="0"/>
        <v/>
      </c>
      <c r="I72" s="274" t="str">
        <f t="shared" si="1"/>
        <v/>
      </c>
      <c r="J72" s="335"/>
      <c r="K72" s="273"/>
      <c r="L72" s="348"/>
    </row>
    <row r="73" spans="2:12">
      <c r="B73" s="345"/>
      <c r="C73" s="346"/>
      <c r="D73" s="273"/>
      <c r="E73" s="273"/>
      <c r="F73" s="273"/>
      <c r="G73" s="273"/>
      <c r="H73" s="347" t="str">
        <f t="shared" si="0"/>
        <v/>
      </c>
      <c r="I73" s="274" t="str">
        <f t="shared" si="1"/>
        <v/>
      </c>
      <c r="J73" s="335"/>
      <c r="K73" s="273"/>
      <c r="L73" s="348"/>
    </row>
    <row r="74" spans="2:12">
      <c r="B74" s="345"/>
      <c r="C74" s="346"/>
      <c r="D74" s="273"/>
      <c r="E74" s="273"/>
      <c r="F74" s="273"/>
      <c r="G74" s="273"/>
      <c r="H74" s="347" t="str">
        <f t="shared" si="0"/>
        <v/>
      </c>
      <c r="I74" s="274" t="str">
        <f t="shared" si="1"/>
        <v/>
      </c>
      <c r="J74" s="335"/>
      <c r="K74" s="273"/>
      <c r="L74" s="348"/>
    </row>
    <row r="75" spans="2:12">
      <c r="B75" s="345"/>
      <c r="C75" s="346"/>
      <c r="D75" s="273"/>
      <c r="E75" s="273"/>
      <c r="F75" s="273"/>
      <c r="G75" s="273"/>
      <c r="H75" s="347" t="str">
        <f t="shared" ref="H75:H138" si="2">IF(G75="Large","NRS",IF(G75="International","FRS",IF(G75="SME - Medium","SME",IF(G75="SME - Micro","SME",IF(G75="SME - Small","SME","")))))</f>
        <v/>
      </c>
      <c r="I75" s="274" t="str">
        <f t="shared" ref="I75:I138" si="3">IF(H75="FRS","No","")</f>
        <v/>
      </c>
      <c r="J75" s="335"/>
      <c r="K75" s="273"/>
      <c r="L75" s="348"/>
    </row>
    <row r="76" spans="2:12">
      <c r="B76" s="345"/>
      <c r="C76" s="346"/>
      <c r="D76" s="273"/>
      <c r="E76" s="273"/>
      <c r="F76" s="273"/>
      <c r="G76" s="273"/>
      <c r="H76" s="347" t="str">
        <f t="shared" si="2"/>
        <v/>
      </c>
      <c r="I76" s="274" t="str">
        <f t="shared" si="3"/>
        <v/>
      </c>
      <c r="J76" s="335"/>
      <c r="K76" s="273"/>
      <c r="L76" s="348"/>
    </row>
    <row r="77" spans="2:12">
      <c r="B77" s="345"/>
      <c r="C77" s="346"/>
      <c r="D77" s="273"/>
      <c r="E77" s="273"/>
      <c r="F77" s="273"/>
      <c r="G77" s="273"/>
      <c r="H77" s="347" t="str">
        <f t="shared" si="2"/>
        <v/>
      </c>
      <c r="I77" s="274" t="str">
        <f t="shared" si="3"/>
        <v/>
      </c>
      <c r="J77" s="335"/>
      <c r="K77" s="273"/>
      <c r="L77" s="348"/>
    </row>
    <row r="78" spans="2:12">
      <c r="B78" s="345"/>
      <c r="C78" s="346"/>
      <c r="D78" s="273"/>
      <c r="E78" s="273"/>
      <c r="F78" s="273"/>
      <c r="G78" s="273"/>
      <c r="H78" s="347" t="str">
        <f t="shared" si="2"/>
        <v/>
      </c>
      <c r="I78" s="274" t="str">
        <f t="shared" si="3"/>
        <v/>
      </c>
      <c r="J78" s="335"/>
      <c r="K78" s="273"/>
      <c r="L78" s="348"/>
    </row>
    <row r="79" spans="2:12">
      <c r="B79" s="345"/>
      <c r="C79" s="346"/>
      <c r="D79" s="273"/>
      <c r="E79" s="273"/>
      <c r="F79" s="273"/>
      <c r="G79" s="273"/>
      <c r="H79" s="347" t="str">
        <f t="shared" si="2"/>
        <v/>
      </c>
      <c r="I79" s="274" t="str">
        <f t="shared" si="3"/>
        <v/>
      </c>
      <c r="J79" s="335"/>
      <c r="K79" s="273"/>
      <c r="L79" s="348"/>
    </row>
    <row r="80" spans="2:12">
      <c r="B80" s="345"/>
      <c r="C80" s="346"/>
      <c r="D80" s="273"/>
      <c r="E80" s="273"/>
      <c r="F80" s="273"/>
      <c r="G80" s="273"/>
      <c r="H80" s="347" t="str">
        <f t="shared" si="2"/>
        <v/>
      </c>
      <c r="I80" s="274" t="str">
        <f t="shared" si="3"/>
        <v/>
      </c>
      <c r="J80" s="335"/>
      <c r="K80" s="273"/>
      <c r="L80" s="348"/>
    </row>
    <row r="81" spans="2:12">
      <c r="B81" s="345"/>
      <c r="C81" s="346"/>
      <c r="D81" s="273"/>
      <c r="E81" s="273"/>
      <c r="F81" s="273"/>
      <c r="G81" s="273"/>
      <c r="H81" s="347" t="str">
        <f t="shared" si="2"/>
        <v/>
      </c>
      <c r="I81" s="274" t="str">
        <f t="shared" si="3"/>
        <v/>
      </c>
      <c r="J81" s="335"/>
      <c r="K81" s="273"/>
      <c r="L81" s="348"/>
    </row>
    <row r="82" spans="2:12">
      <c r="B82" s="345"/>
      <c r="C82" s="346"/>
      <c r="D82" s="273"/>
      <c r="E82" s="273"/>
      <c r="F82" s="273"/>
      <c r="G82" s="273"/>
      <c r="H82" s="347" t="str">
        <f t="shared" si="2"/>
        <v/>
      </c>
      <c r="I82" s="274" t="str">
        <f t="shared" si="3"/>
        <v/>
      </c>
      <c r="J82" s="335"/>
      <c r="K82" s="273"/>
      <c r="L82" s="348"/>
    </row>
    <row r="83" spans="2:12">
      <c r="B83" s="345"/>
      <c r="C83" s="346"/>
      <c r="D83" s="273"/>
      <c r="E83" s="273"/>
      <c r="F83" s="273"/>
      <c r="G83" s="273"/>
      <c r="H83" s="347" t="str">
        <f t="shared" si="2"/>
        <v/>
      </c>
      <c r="I83" s="274" t="str">
        <f t="shared" si="3"/>
        <v/>
      </c>
      <c r="J83" s="335"/>
      <c r="K83" s="273"/>
      <c r="L83" s="348"/>
    </row>
    <row r="84" spans="2:12">
      <c r="B84" s="345"/>
      <c r="C84" s="346"/>
      <c r="D84" s="273"/>
      <c r="E84" s="273"/>
      <c r="F84" s="273"/>
      <c r="G84" s="273"/>
      <c r="H84" s="347" t="str">
        <f t="shared" si="2"/>
        <v/>
      </c>
      <c r="I84" s="274" t="str">
        <f t="shared" si="3"/>
        <v/>
      </c>
      <c r="J84" s="335"/>
      <c r="K84" s="273"/>
      <c r="L84" s="348"/>
    </row>
    <row r="85" spans="2:12">
      <c r="B85" s="345"/>
      <c r="C85" s="346"/>
      <c r="D85" s="273"/>
      <c r="E85" s="273"/>
      <c r="F85" s="273"/>
      <c r="G85" s="273"/>
      <c r="H85" s="347" t="str">
        <f t="shared" si="2"/>
        <v/>
      </c>
      <c r="I85" s="274" t="str">
        <f t="shared" si="3"/>
        <v/>
      </c>
      <c r="J85" s="335"/>
      <c r="K85" s="273"/>
      <c r="L85" s="348"/>
    </row>
    <row r="86" spans="2:12">
      <c r="B86" s="345"/>
      <c r="C86" s="346"/>
      <c r="D86" s="273"/>
      <c r="E86" s="273"/>
      <c r="F86" s="273"/>
      <c r="G86" s="273"/>
      <c r="H86" s="347" t="str">
        <f t="shared" si="2"/>
        <v/>
      </c>
      <c r="I86" s="274" t="str">
        <f t="shared" si="3"/>
        <v/>
      </c>
      <c r="J86" s="335"/>
      <c r="K86" s="273"/>
      <c r="L86" s="348"/>
    </row>
    <row r="87" spans="2:12">
      <c r="B87" s="345"/>
      <c r="C87" s="346"/>
      <c r="D87" s="273"/>
      <c r="E87" s="273"/>
      <c r="F87" s="273"/>
      <c r="G87" s="273"/>
      <c r="H87" s="347" t="str">
        <f t="shared" si="2"/>
        <v/>
      </c>
      <c r="I87" s="274" t="str">
        <f t="shared" si="3"/>
        <v/>
      </c>
      <c r="J87" s="335"/>
      <c r="K87" s="273"/>
      <c r="L87" s="348"/>
    </row>
    <row r="88" spans="2:12">
      <c r="B88" s="345"/>
      <c r="C88" s="346"/>
      <c r="D88" s="273"/>
      <c r="E88" s="273"/>
      <c r="F88" s="273"/>
      <c r="G88" s="273"/>
      <c r="H88" s="347" t="str">
        <f t="shared" si="2"/>
        <v/>
      </c>
      <c r="I88" s="274" t="str">
        <f t="shared" si="3"/>
        <v/>
      </c>
      <c r="J88" s="335"/>
      <c r="K88" s="273"/>
      <c r="L88" s="348"/>
    </row>
    <row r="89" spans="2:12">
      <c r="B89" s="345"/>
      <c r="C89" s="346"/>
      <c r="D89" s="273"/>
      <c r="E89" s="273"/>
      <c r="F89" s="273"/>
      <c r="G89" s="273"/>
      <c r="H89" s="347" t="str">
        <f t="shared" si="2"/>
        <v/>
      </c>
      <c r="I89" s="274" t="str">
        <f t="shared" si="3"/>
        <v/>
      </c>
      <c r="J89" s="335"/>
      <c r="K89" s="273"/>
      <c r="L89" s="348"/>
    </row>
    <row r="90" spans="2:12">
      <c r="B90" s="345"/>
      <c r="C90" s="346"/>
      <c r="D90" s="273"/>
      <c r="E90" s="273"/>
      <c r="F90" s="273"/>
      <c r="G90" s="273"/>
      <c r="H90" s="347" t="str">
        <f t="shared" si="2"/>
        <v/>
      </c>
      <c r="I90" s="274" t="str">
        <f t="shared" si="3"/>
        <v/>
      </c>
      <c r="J90" s="335"/>
      <c r="K90" s="273"/>
      <c r="L90" s="348"/>
    </row>
    <row r="91" spans="2:12">
      <c r="B91" s="345"/>
      <c r="C91" s="346"/>
      <c r="D91" s="273"/>
      <c r="E91" s="273"/>
      <c r="F91" s="273"/>
      <c r="G91" s="273"/>
      <c r="H91" s="347" t="str">
        <f t="shared" si="2"/>
        <v/>
      </c>
      <c r="I91" s="274" t="str">
        <f t="shared" si="3"/>
        <v/>
      </c>
      <c r="J91" s="335"/>
      <c r="K91" s="273"/>
      <c r="L91" s="348"/>
    </row>
    <row r="92" spans="2:12">
      <c r="B92" s="345"/>
      <c r="C92" s="346"/>
      <c r="D92" s="273"/>
      <c r="E92" s="273"/>
      <c r="F92" s="273"/>
      <c r="G92" s="273"/>
      <c r="H92" s="347" t="str">
        <f t="shared" si="2"/>
        <v/>
      </c>
      <c r="I92" s="274" t="str">
        <f t="shared" si="3"/>
        <v/>
      </c>
      <c r="J92" s="335"/>
      <c r="K92" s="273"/>
      <c r="L92" s="348"/>
    </row>
    <row r="93" spans="2:12">
      <c r="B93" s="345"/>
      <c r="C93" s="346"/>
      <c r="D93" s="273"/>
      <c r="E93" s="273"/>
      <c r="F93" s="273"/>
      <c r="G93" s="273"/>
      <c r="H93" s="347" t="str">
        <f t="shared" si="2"/>
        <v/>
      </c>
      <c r="I93" s="274" t="str">
        <f t="shared" si="3"/>
        <v/>
      </c>
      <c r="J93" s="335"/>
      <c r="K93" s="273"/>
      <c r="L93" s="348"/>
    </row>
    <row r="94" spans="2:12">
      <c r="B94" s="345"/>
      <c r="C94" s="346"/>
      <c r="D94" s="273"/>
      <c r="E94" s="273"/>
      <c r="F94" s="273"/>
      <c r="G94" s="273"/>
      <c r="H94" s="347" t="str">
        <f t="shared" si="2"/>
        <v/>
      </c>
      <c r="I94" s="274" t="str">
        <f t="shared" si="3"/>
        <v/>
      </c>
      <c r="J94" s="335"/>
      <c r="K94" s="273"/>
      <c r="L94" s="348"/>
    </row>
    <row r="95" spans="2:12">
      <c r="B95" s="345"/>
      <c r="C95" s="346"/>
      <c r="D95" s="273"/>
      <c r="E95" s="273"/>
      <c r="F95" s="273"/>
      <c r="G95" s="273"/>
      <c r="H95" s="347" t="str">
        <f t="shared" si="2"/>
        <v/>
      </c>
      <c r="I95" s="274" t="str">
        <f t="shared" si="3"/>
        <v/>
      </c>
      <c r="J95" s="335"/>
      <c r="K95" s="273"/>
      <c r="L95" s="348"/>
    </row>
    <row r="96" spans="2:12">
      <c r="B96" s="345"/>
      <c r="C96" s="346"/>
      <c r="D96" s="273"/>
      <c r="E96" s="273"/>
      <c r="F96" s="273"/>
      <c r="G96" s="273"/>
      <c r="H96" s="347" t="str">
        <f t="shared" si="2"/>
        <v/>
      </c>
      <c r="I96" s="274" t="str">
        <f t="shared" si="3"/>
        <v/>
      </c>
      <c r="J96" s="335"/>
      <c r="K96" s="273"/>
      <c r="L96" s="348"/>
    </row>
    <row r="97" spans="2:12">
      <c r="B97" s="345"/>
      <c r="C97" s="346"/>
      <c r="D97" s="273"/>
      <c r="E97" s="273"/>
      <c r="F97" s="273"/>
      <c r="G97" s="273"/>
      <c r="H97" s="347" t="str">
        <f t="shared" si="2"/>
        <v/>
      </c>
      <c r="I97" s="274" t="str">
        <f t="shared" si="3"/>
        <v/>
      </c>
      <c r="J97" s="335"/>
      <c r="K97" s="273"/>
      <c r="L97" s="348"/>
    </row>
    <row r="98" spans="2:12">
      <c r="B98" s="345"/>
      <c r="C98" s="346"/>
      <c r="D98" s="273"/>
      <c r="E98" s="273"/>
      <c r="F98" s="273"/>
      <c r="G98" s="273"/>
      <c r="H98" s="347" t="str">
        <f t="shared" si="2"/>
        <v/>
      </c>
      <c r="I98" s="274" t="str">
        <f t="shared" si="3"/>
        <v/>
      </c>
      <c r="J98" s="335"/>
      <c r="K98" s="273"/>
      <c r="L98" s="348"/>
    </row>
    <row r="99" spans="2:12">
      <c r="B99" s="345"/>
      <c r="C99" s="346"/>
      <c r="D99" s="273"/>
      <c r="E99" s="273"/>
      <c r="F99" s="273"/>
      <c r="G99" s="273"/>
      <c r="H99" s="347" t="str">
        <f t="shared" si="2"/>
        <v/>
      </c>
      <c r="I99" s="274" t="str">
        <f t="shared" si="3"/>
        <v/>
      </c>
      <c r="J99" s="335"/>
      <c r="K99" s="273"/>
      <c r="L99" s="348"/>
    </row>
    <row r="100" spans="2:12">
      <c r="B100" s="345"/>
      <c r="C100" s="346"/>
      <c r="D100" s="273"/>
      <c r="E100" s="273"/>
      <c r="F100" s="273"/>
      <c r="G100" s="273"/>
      <c r="H100" s="347" t="str">
        <f t="shared" si="2"/>
        <v/>
      </c>
      <c r="I100" s="274" t="str">
        <f t="shared" si="3"/>
        <v/>
      </c>
      <c r="J100" s="335"/>
      <c r="K100" s="273"/>
      <c r="L100" s="348"/>
    </row>
    <row r="101" spans="2:12">
      <c r="B101" s="345"/>
      <c r="C101" s="346"/>
      <c r="D101" s="273"/>
      <c r="E101" s="273"/>
      <c r="F101" s="273"/>
      <c r="G101" s="273"/>
      <c r="H101" s="347" t="str">
        <f t="shared" si="2"/>
        <v/>
      </c>
      <c r="I101" s="274" t="str">
        <f t="shared" si="3"/>
        <v/>
      </c>
      <c r="J101" s="335"/>
      <c r="K101" s="273"/>
      <c r="L101" s="348"/>
    </row>
    <row r="102" spans="2:12">
      <c r="B102" s="345"/>
      <c r="C102" s="346"/>
      <c r="D102" s="273"/>
      <c r="E102" s="273"/>
      <c r="F102" s="273"/>
      <c r="G102" s="273"/>
      <c r="H102" s="347" t="str">
        <f t="shared" si="2"/>
        <v/>
      </c>
      <c r="I102" s="274" t="str">
        <f t="shared" si="3"/>
        <v/>
      </c>
      <c r="J102" s="335"/>
      <c r="K102" s="273"/>
      <c r="L102" s="348"/>
    </row>
    <row r="103" spans="2:12">
      <c r="B103" s="345"/>
      <c r="C103" s="346"/>
      <c r="D103" s="273"/>
      <c r="E103" s="273"/>
      <c r="F103" s="273"/>
      <c r="G103" s="273"/>
      <c r="H103" s="347" t="str">
        <f t="shared" si="2"/>
        <v/>
      </c>
      <c r="I103" s="274" t="str">
        <f t="shared" si="3"/>
        <v/>
      </c>
      <c r="J103" s="335"/>
      <c r="K103" s="273"/>
      <c r="L103" s="348"/>
    </row>
    <row r="104" spans="2:12">
      <c r="B104" s="345"/>
      <c r="C104" s="346"/>
      <c r="D104" s="273"/>
      <c r="E104" s="273"/>
      <c r="F104" s="273"/>
      <c r="G104" s="273"/>
      <c r="H104" s="347" t="str">
        <f t="shared" si="2"/>
        <v/>
      </c>
      <c r="I104" s="274" t="str">
        <f t="shared" si="3"/>
        <v/>
      </c>
      <c r="J104" s="335"/>
      <c r="K104" s="273"/>
      <c r="L104" s="348"/>
    </row>
    <row r="105" spans="2:12">
      <c r="B105" s="345"/>
      <c r="C105" s="346"/>
      <c r="D105" s="273"/>
      <c r="E105" s="273"/>
      <c r="F105" s="273"/>
      <c r="G105" s="273"/>
      <c r="H105" s="347" t="str">
        <f t="shared" si="2"/>
        <v/>
      </c>
      <c r="I105" s="274" t="str">
        <f t="shared" si="3"/>
        <v/>
      </c>
      <c r="J105" s="335"/>
      <c r="K105" s="273"/>
      <c r="L105" s="348"/>
    </row>
    <row r="106" spans="2:12">
      <c r="B106" s="345"/>
      <c r="C106" s="346"/>
      <c r="D106" s="273"/>
      <c r="E106" s="273"/>
      <c r="F106" s="273"/>
      <c r="G106" s="273"/>
      <c r="H106" s="347" t="str">
        <f t="shared" si="2"/>
        <v/>
      </c>
      <c r="I106" s="274" t="str">
        <f t="shared" si="3"/>
        <v/>
      </c>
      <c r="J106" s="335"/>
      <c r="K106" s="273"/>
      <c r="L106" s="348"/>
    </row>
    <row r="107" spans="2:12">
      <c r="B107" s="345"/>
      <c r="C107" s="346"/>
      <c r="D107" s="273"/>
      <c r="E107" s="273"/>
      <c r="F107" s="273"/>
      <c r="G107" s="273"/>
      <c r="H107" s="347" t="str">
        <f t="shared" si="2"/>
        <v/>
      </c>
      <c r="I107" s="274" t="str">
        <f t="shared" si="3"/>
        <v/>
      </c>
      <c r="J107" s="335"/>
      <c r="K107" s="273"/>
      <c r="L107" s="348"/>
    </row>
    <row r="108" spans="2:12">
      <c r="B108" s="345"/>
      <c r="C108" s="346"/>
      <c r="D108" s="273"/>
      <c r="E108" s="273"/>
      <c r="F108" s="273"/>
      <c r="G108" s="273"/>
      <c r="H108" s="347" t="str">
        <f t="shared" si="2"/>
        <v/>
      </c>
      <c r="I108" s="274" t="str">
        <f t="shared" si="3"/>
        <v/>
      </c>
      <c r="J108" s="335"/>
      <c r="K108" s="273"/>
      <c r="L108" s="348"/>
    </row>
    <row r="109" spans="2:12">
      <c r="B109" s="345"/>
      <c r="C109" s="346"/>
      <c r="D109" s="273"/>
      <c r="E109" s="273"/>
      <c r="F109" s="273"/>
      <c r="G109" s="273"/>
      <c r="H109" s="347" t="str">
        <f t="shared" si="2"/>
        <v/>
      </c>
      <c r="I109" s="274" t="str">
        <f t="shared" si="3"/>
        <v/>
      </c>
      <c r="J109" s="335"/>
      <c r="K109" s="273"/>
      <c r="L109" s="348"/>
    </row>
    <row r="110" spans="2:12">
      <c r="B110" s="345"/>
      <c r="C110" s="346"/>
      <c r="D110" s="273"/>
      <c r="E110" s="273"/>
      <c r="F110" s="273"/>
      <c r="G110" s="273"/>
      <c r="H110" s="347" t="str">
        <f t="shared" si="2"/>
        <v/>
      </c>
      <c r="I110" s="274" t="str">
        <f t="shared" si="3"/>
        <v/>
      </c>
      <c r="J110" s="335"/>
      <c r="K110" s="273"/>
      <c r="L110" s="348"/>
    </row>
    <row r="111" spans="2:12">
      <c r="B111" s="345"/>
      <c r="C111" s="346"/>
      <c r="D111" s="273"/>
      <c r="E111" s="273"/>
      <c r="F111" s="273"/>
      <c r="G111" s="273"/>
      <c r="H111" s="347" t="str">
        <f t="shared" si="2"/>
        <v/>
      </c>
      <c r="I111" s="274" t="str">
        <f t="shared" si="3"/>
        <v/>
      </c>
      <c r="J111" s="335"/>
      <c r="K111" s="273"/>
      <c r="L111" s="348"/>
    </row>
    <row r="112" spans="2:12">
      <c r="B112" s="345"/>
      <c r="C112" s="346"/>
      <c r="D112" s="273"/>
      <c r="E112" s="273"/>
      <c r="F112" s="273"/>
      <c r="G112" s="273"/>
      <c r="H112" s="347" t="str">
        <f t="shared" si="2"/>
        <v/>
      </c>
      <c r="I112" s="274" t="str">
        <f t="shared" si="3"/>
        <v/>
      </c>
      <c r="J112" s="335"/>
      <c r="K112" s="273"/>
      <c r="L112" s="348"/>
    </row>
    <row r="113" spans="2:12">
      <c r="B113" s="345"/>
      <c r="C113" s="346"/>
      <c r="D113" s="273"/>
      <c r="E113" s="273"/>
      <c r="F113" s="273"/>
      <c r="G113" s="273"/>
      <c r="H113" s="347" t="str">
        <f t="shared" si="2"/>
        <v/>
      </c>
      <c r="I113" s="274" t="str">
        <f t="shared" si="3"/>
        <v/>
      </c>
      <c r="J113" s="335"/>
      <c r="K113" s="273"/>
      <c r="L113" s="348"/>
    </row>
    <row r="114" spans="2:12">
      <c r="B114" s="345"/>
      <c r="C114" s="346"/>
      <c r="D114" s="273"/>
      <c r="E114" s="273"/>
      <c r="F114" s="273"/>
      <c r="G114" s="273"/>
      <c r="H114" s="347" t="str">
        <f t="shared" si="2"/>
        <v/>
      </c>
      <c r="I114" s="274" t="str">
        <f t="shared" si="3"/>
        <v/>
      </c>
      <c r="J114" s="335"/>
      <c r="K114" s="273"/>
      <c r="L114" s="348"/>
    </row>
    <row r="115" spans="2:12">
      <c r="B115" s="345"/>
      <c r="C115" s="346"/>
      <c r="D115" s="273"/>
      <c r="E115" s="273"/>
      <c r="F115" s="273"/>
      <c r="G115" s="273"/>
      <c r="H115" s="347" t="str">
        <f t="shared" si="2"/>
        <v/>
      </c>
      <c r="I115" s="274" t="str">
        <f t="shared" si="3"/>
        <v/>
      </c>
      <c r="J115" s="335"/>
      <c r="K115" s="273"/>
      <c r="L115" s="348"/>
    </row>
    <row r="116" spans="2:12">
      <c r="B116" s="345"/>
      <c r="C116" s="346"/>
      <c r="D116" s="273"/>
      <c r="E116" s="273"/>
      <c r="F116" s="273"/>
      <c r="G116" s="273"/>
      <c r="H116" s="347" t="str">
        <f t="shared" si="2"/>
        <v/>
      </c>
      <c r="I116" s="274" t="str">
        <f t="shared" si="3"/>
        <v/>
      </c>
      <c r="J116" s="335"/>
      <c r="K116" s="273"/>
      <c r="L116" s="348"/>
    </row>
    <row r="117" spans="2:12">
      <c r="B117" s="345"/>
      <c r="C117" s="346"/>
      <c r="D117" s="273"/>
      <c r="E117" s="273"/>
      <c r="F117" s="273"/>
      <c r="G117" s="273"/>
      <c r="H117" s="347" t="str">
        <f t="shared" si="2"/>
        <v/>
      </c>
      <c r="I117" s="274" t="str">
        <f t="shared" si="3"/>
        <v/>
      </c>
      <c r="J117" s="335"/>
      <c r="K117" s="273"/>
      <c r="L117" s="348"/>
    </row>
    <row r="118" spans="2:12">
      <c r="B118" s="345"/>
      <c r="C118" s="346"/>
      <c r="D118" s="273"/>
      <c r="E118" s="273"/>
      <c r="F118" s="273"/>
      <c r="G118" s="273"/>
      <c r="H118" s="347" t="str">
        <f t="shared" si="2"/>
        <v/>
      </c>
      <c r="I118" s="274" t="str">
        <f t="shared" si="3"/>
        <v/>
      </c>
      <c r="J118" s="335"/>
      <c r="K118" s="273"/>
      <c r="L118" s="348"/>
    </row>
    <row r="119" spans="2:12">
      <c r="B119" s="345"/>
      <c r="C119" s="346"/>
      <c r="D119" s="273"/>
      <c r="E119" s="273"/>
      <c r="F119" s="273"/>
      <c r="G119" s="273"/>
      <c r="H119" s="347" t="str">
        <f t="shared" si="2"/>
        <v/>
      </c>
      <c r="I119" s="274" t="str">
        <f t="shared" si="3"/>
        <v/>
      </c>
      <c r="J119" s="335"/>
      <c r="K119" s="273"/>
      <c r="L119" s="348"/>
    </row>
    <row r="120" spans="2:12">
      <c r="B120" s="345"/>
      <c r="C120" s="346"/>
      <c r="D120" s="273"/>
      <c r="E120" s="273"/>
      <c r="F120" s="273"/>
      <c r="G120" s="273"/>
      <c r="H120" s="347" t="str">
        <f t="shared" si="2"/>
        <v/>
      </c>
      <c r="I120" s="274" t="str">
        <f t="shared" si="3"/>
        <v/>
      </c>
      <c r="J120" s="335"/>
      <c r="K120" s="273"/>
      <c r="L120" s="348"/>
    </row>
    <row r="121" spans="2:12">
      <c r="B121" s="345"/>
      <c r="C121" s="346"/>
      <c r="D121" s="273"/>
      <c r="E121" s="273"/>
      <c r="F121" s="273"/>
      <c r="G121" s="273"/>
      <c r="H121" s="347" t="str">
        <f t="shared" si="2"/>
        <v/>
      </c>
      <c r="I121" s="274" t="str">
        <f t="shared" si="3"/>
        <v/>
      </c>
      <c r="J121" s="335"/>
      <c r="K121" s="273"/>
      <c r="L121" s="348"/>
    </row>
    <row r="122" spans="2:12">
      <c r="B122" s="345"/>
      <c r="C122" s="346"/>
      <c r="D122" s="273"/>
      <c r="E122" s="273"/>
      <c r="F122" s="273"/>
      <c r="G122" s="273"/>
      <c r="H122" s="347" t="str">
        <f t="shared" si="2"/>
        <v/>
      </c>
      <c r="I122" s="274" t="str">
        <f t="shared" si="3"/>
        <v/>
      </c>
      <c r="J122" s="335"/>
      <c r="K122" s="273"/>
      <c r="L122" s="348"/>
    </row>
    <row r="123" spans="2:12">
      <c r="B123" s="345"/>
      <c r="C123" s="346"/>
      <c r="D123" s="273"/>
      <c r="E123" s="273"/>
      <c r="F123" s="273"/>
      <c r="G123" s="273"/>
      <c r="H123" s="347" t="str">
        <f t="shared" si="2"/>
        <v/>
      </c>
      <c r="I123" s="274" t="str">
        <f t="shared" si="3"/>
        <v/>
      </c>
      <c r="J123" s="335"/>
      <c r="K123" s="273"/>
      <c r="L123" s="348"/>
    </row>
    <row r="124" spans="2:12">
      <c r="B124" s="345"/>
      <c r="C124" s="346"/>
      <c r="D124" s="273"/>
      <c r="E124" s="273"/>
      <c r="F124" s="273"/>
      <c r="G124" s="273"/>
      <c r="H124" s="347" t="str">
        <f t="shared" si="2"/>
        <v/>
      </c>
      <c r="I124" s="274" t="str">
        <f t="shared" si="3"/>
        <v/>
      </c>
      <c r="J124" s="335"/>
      <c r="K124" s="273"/>
      <c r="L124" s="348"/>
    </row>
    <row r="125" spans="2:12">
      <c r="B125" s="345"/>
      <c r="C125" s="346"/>
      <c r="D125" s="273"/>
      <c r="E125" s="273"/>
      <c r="F125" s="273"/>
      <c r="G125" s="273"/>
      <c r="H125" s="347" t="str">
        <f t="shared" si="2"/>
        <v/>
      </c>
      <c r="I125" s="274" t="str">
        <f t="shared" si="3"/>
        <v/>
      </c>
      <c r="J125" s="335"/>
      <c r="K125" s="273"/>
      <c r="L125" s="348"/>
    </row>
    <row r="126" spans="2:12">
      <c r="B126" s="345"/>
      <c r="C126" s="346"/>
      <c r="D126" s="273"/>
      <c r="E126" s="273"/>
      <c r="F126" s="273"/>
      <c r="G126" s="273"/>
      <c r="H126" s="347" t="str">
        <f t="shared" si="2"/>
        <v/>
      </c>
      <c r="I126" s="274" t="str">
        <f t="shared" si="3"/>
        <v/>
      </c>
      <c r="J126" s="335"/>
      <c r="K126" s="273"/>
      <c r="L126" s="348"/>
    </row>
    <row r="127" spans="2:12">
      <c r="B127" s="345"/>
      <c r="C127" s="346"/>
      <c r="D127" s="273"/>
      <c r="E127" s="273"/>
      <c r="F127" s="273"/>
      <c r="G127" s="273"/>
      <c r="H127" s="347" t="str">
        <f t="shared" si="2"/>
        <v/>
      </c>
      <c r="I127" s="274" t="str">
        <f t="shared" si="3"/>
        <v/>
      </c>
      <c r="J127" s="335"/>
      <c r="K127" s="273"/>
      <c r="L127" s="348"/>
    </row>
    <row r="128" spans="2:12">
      <c r="B128" s="345"/>
      <c r="C128" s="346"/>
      <c r="D128" s="273"/>
      <c r="E128" s="273"/>
      <c r="F128" s="273"/>
      <c r="G128" s="273"/>
      <c r="H128" s="347" t="str">
        <f t="shared" si="2"/>
        <v/>
      </c>
      <c r="I128" s="274" t="str">
        <f t="shared" si="3"/>
        <v/>
      </c>
      <c r="J128" s="335"/>
      <c r="K128" s="273"/>
      <c r="L128" s="348"/>
    </row>
    <row r="129" spans="2:12">
      <c r="B129" s="345"/>
      <c r="C129" s="346"/>
      <c r="D129" s="273"/>
      <c r="E129" s="273"/>
      <c r="F129" s="273"/>
      <c r="G129" s="273"/>
      <c r="H129" s="347" t="str">
        <f t="shared" si="2"/>
        <v/>
      </c>
      <c r="I129" s="274" t="str">
        <f t="shared" si="3"/>
        <v/>
      </c>
      <c r="J129" s="335"/>
      <c r="K129" s="273"/>
      <c r="L129" s="348"/>
    </row>
    <row r="130" spans="2:12">
      <c r="B130" s="345"/>
      <c r="C130" s="346"/>
      <c r="D130" s="273"/>
      <c r="E130" s="273"/>
      <c r="F130" s="273"/>
      <c r="G130" s="273"/>
      <c r="H130" s="347" t="str">
        <f t="shared" si="2"/>
        <v/>
      </c>
      <c r="I130" s="274" t="str">
        <f t="shared" si="3"/>
        <v/>
      </c>
      <c r="J130" s="335"/>
      <c r="K130" s="273"/>
      <c r="L130" s="348"/>
    </row>
    <row r="131" spans="2:12">
      <c r="B131" s="345"/>
      <c r="C131" s="346"/>
      <c r="D131" s="273"/>
      <c r="E131" s="273"/>
      <c r="F131" s="273"/>
      <c r="G131" s="273"/>
      <c r="H131" s="347" t="str">
        <f t="shared" si="2"/>
        <v/>
      </c>
      <c r="I131" s="274" t="str">
        <f t="shared" si="3"/>
        <v/>
      </c>
      <c r="J131" s="335"/>
      <c r="K131" s="273"/>
      <c r="L131" s="348"/>
    </row>
    <row r="132" spans="2:12">
      <c r="B132" s="345"/>
      <c r="C132" s="346"/>
      <c r="D132" s="273"/>
      <c r="E132" s="273"/>
      <c r="F132" s="273"/>
      <c r="G132" s="273"/>
      <c r="H132" s="347" t="str">
        <f t="shared" si="2"/>
        <v/>
      </c>
      <c r="I132" s="274" t="str">
        <f t="shared" si="3"/>
        <v/>
      </c>
      <c r="J132" s="335"/>
      <c r="K132" s="273"/>
      <c r="L132" s="348"/>
    </row>
    <row r="133" spans="2:12">
      <c r="B133" s="345"/>
      <c r="C133" s="346"/>
      <c r="D133" s="273"/>
      <c r="E133" s="273"/>
      <c r="F133" s="273"/>
      <c r="G133" s="273"/>
      <c r="H133" s="347" t="str">
        <f t="shared" si="2"/>
        <v/>
      </c>
      <c r="I133" s="274" t="str">
        <f t="shared" si="3"/>
        <v/>
      </c>
      <c r="J133" s="335"/>
      <c r="K133" s="273"/>
      <c r="L133" s="348"/>
    </row>
    <row r="134" spans="2:12">
      <c r="B134" s="345"/>
      <c r="C134" s="346"/>
      <c r="D134" s="273"/>
      <c r="E134" s="273"/>
      <c r="F134" s="273"/>
      <c r="G134" s="273"/>
      <c r="H134" s="347" t="str">
        <f t="shared" si="2"/>
        <v/>
      </c>
      <c r="I134" s="274" t="str">
        <f t="shared" si="3"/>
        <v/>
      </c>
      <c r="J134" s="335"/>
      <c r="K134" s="273"/>
      <c r="L134" s="348"/>
    </row>
    <row r="135" spans="2:12">
      <c r="B135" s="345"/>
      <c r="C135" s="346"/>
      <c r="D135" s="273"/>
      <c r="E135" s="273"/>
      <c r="F135" s="273"/>
      <c r="G135" s="273"/>
      <c r="H135" s="347" t="str">
        <f t="shared" si="2"/>
        <v/>
      </c>
      <c r="I135" s="274" t="str">
        <f t="shared" si="3"/>
        <v/>
      </c>
      <c r="J135" s="335"/>
      <c r="K135" s="273"/>
      <c r="L135" s="348"/>
    </row>
    <row r="136" spans="2:12">
      <c r="B136" s="345"/>
      <c r="C136" s="346"/>
      <c r="D136" s="273"/>
      <c r="E136" s="273"/>
      <c r="F136" s="273"/>
      <c r="G136" s="273"/>
      <c r="H136" s="347" t="str">
        <f t="shared" si="2"/>
        <v/>
      </c>
      <c r="I136" s="274" t="str">
        <f t="shared" si="3"/>
        <v/>
      </c>
      <c r="J136" s="335"/>
      <c r="K136" s="273"/>
      <c r="L136" s="348"/>
    </row>
    <row r="137" spans="2:12">
      <c r="B137" s="345"/>
      <c r="C137" s="346"/>
      <c r="D137" s="273"/>
      <c r="E137" s="273"/>
      <c r="F137" s="273"/>
      <c r="G137" s="273"/>
      <c r="H137" s="347" t="str">
        <f t="shared" si="2"/>
        <v/>
      </c>
      <c r="I137" s="274" t="str">
        <f t="shared" si="3"/>
        <v/>
      </c>
      <c r="J137" s="335"/>
      <c r="K137" s="273"/>
      <c r="L137" s="348"/>
    </row>
    <row r="138" spans="2:12">
      <c r="B138" s="345"/>
      <c r="C138" s="346"/>
      <c r="D138" s="273"/>
      <c r="E138" s="273"/>
      <c r="F138" s="273"/>
      <c r="G138" s="273"/>
      <c r="H138" s="347" t="str">
        <f t="shared" si="2"/>
        <v/>
      </c>
      <c r="I138" s="274" t="str">
        <f t="shared" si="3"/>
        <v/>
      </c>
      <c r="J138" s="335"/>
      <c r="K138" s="273"/>
      <c r="L138" s="348"/>
    </row>
    <row r="139" spans="2:12">
      <c r="B139" s="345"/>
      <c r="C139" s="346"/>
      <c r="D139" s="273"/>
      <c r="E139" s="273"/>
      <c r="F139" s="273"/>
      <c r="G139" s="273"/>
      <c r="H139" s="347" t="str">
        <f t="shared" ref="H139:H202" si="4">IF(G139="Large","NRS",IF(G139="International","FRS",IF(G139="SME - Medium","SME",IF(G139="SME - Micro","SME",IF(G139="SME - Small","SME","")))))</f>
        <v/>
      </c>
      <c r="I139" s="274" t="str">
        <f t="shared" ref="I139:I202" si="5">IF(H139="FRS","No","")</f>
        <v/>
      </c>
      <c r="J139" s="335"/>
      <c r="K139" s="273"/>
      <c r="L139" s="348"/>
    </row>
    <row r="140" spans="2:12">
      <c r="B140" s="345"/>
      <c r="C140" s="346"/>
      <c r="D140" s="273"/>
      <c r="E140" s="273"/>
      <c r="F140" s="273"/>
      <c r="G140" s="273"/>
      <c r="H140" s="347" t="str">
        <f t="shared" si="4"/>
        <v/>
      </c>
      <c r="I140" s="274" t="str">
        <f t="shared" si="5"/>
        <v/>
      </c>
      <c r="J140" s="335"/>
      <c r="K140" s="273"/>
      <c r="L140" s="348"/>
    </row>
    <row r="141" spans="2:12">
      <c r="B141" s="345"/>
      <c r="C141" s="346"/>
      <c r="D141" s="273"/>
      <c r="E141" s="273"/>
      <c r="F141" s="273"/>
      <c r="G141" s="273"/>
      <c r="H141" s="347" t="str">
        <f t="shared" si="4"/>
        <v/>
      </c>
      <c r="I141" s="274" t="str">
        <f t="shared" si="5"/>
        <v/>
      </c>
      <c r="J141" s="335"/>
      <c r="K141" s="273"/>
      <c r="L141" s="348"/>
    </row>
    <row r="142" spans="2:12">
      <c r="B142" s="345"/>
      <c r="C142" s="346"/>
      <c r="D142" s="273"/>
      <c r="E142" s="273"/>
      <c r="F142" s="273"/>
      <c r="G142" s="273"/>
      <c r="H142" s="347" t="str">
        <f t="shared" si="4"/>
        <v/>
      </c>
      <c r="I142" s="274" t="str">
        <f t="shared" si="5"/>
        <v/>
      </c>
      <c r="J142" s="335"/>
      <c r="K142" s="273"/>
      <c r="L142" s="348"/>
    </row>
    <row r="143" spans="2:12">
      <c r="B143" s="345"/>
      <c r="C143" s="346"/>
      <c r="D143" s="273"/>
      <c r="E143" s="273"/>
      <c r="F143" s="273"/>
      <c r="G143" s="273"/>
      <c r="H143" s="347" t="str">
        <f t="shared" si="4"/>
        <v/>
      </c>
      <c r="I143" s="274" t="str">
        <f t="shared" si="5"/>
        <v/>
      </c>
      <c r="J143" s="335"/>
      <c r="K143" s="273"/>
      <c r="L143" s="348"/>
    </row>
    <row r="144" spans="2:12">
      <c r="B144" s="345"/>
      <c r="C144" s="346"/>
      <c r="D144" s="273"/>
      <c r="E144" s="273"/>
      <c r="F144" s="273"/>
      <c r="G144" s="273"/>
      <c r="H144" s="347" t="str">
        <f t="shared" si="4"/>
        <v/>
      </c>
      <c r="I144" s="274" t="str">
        <f t="shared" si="5"/>
        <v/>
      </c>
      <c r="J144" s="335"/>
      <c r="K144" s="273"/>
      <c r="L144" s="348"/>
    </row>
    <row r="145" spans="2:12">
      <c r="B145" s="345"/>
      <c r="C145" s="346"/>
      <c r="D145" s="273"/>
      <c r="E145" s="273"/>
      <c r="F145" s="273"/>
      <c r="G145" s="273"/>
      <c r="H145" s="347" t="str">
        <f t="shared" si="4"/>
        <v/>
      </c>
      <c r="I145" s="274" t="str">
        <f t="shared" si="5"/>
        <v/>
      </c>
      <c r="J145" s="335"/>
      <c r="K145" s="273"/>
      <c r="L145" s="348"/>
    </row>
    <row r="146" spans="2:12">
      <c r="B146" s="345"/>
      <c r="C146" s="346"/>
      <c r="D146" s="273"/>
      <c r="E146" s="273"/>
      <c r="F146" s="273"/>
      <c r="G146" s="273"/>
      <c r="H146" s="347" t="str">
        <f t="shared" si="4"/>
        <v/>
      </c>
      <c r="I146" s="274" t="str">
        <f t="shared" si="5"/>
        <v/>
      </c>
      <c r="J146" s="335"/>
      <c r="K146" s="273"/>
      <c r="L146" s="348"/>
    </row>
    <row r="147" spans="2:12">
      <c r="B147" s="345"/>
      <c r="C147" s="346"/>
      <c r="D147" s="273"/>
      <c r="E147" s="273"/>
      <c r="F147" s="273"/>
      <c r="G147" s="273"/>
      <c r="H147" s="347" t="str">
        <f t="shared" si="4"/>
        <v/>
      </c>
      <c r="I147" s="274" t="str">
        <f t="shared" si="5"/>
        <v/>
      </c>
      <c r="J147" s="335"/>
      <c r="K147" s="273"/>
      <c r="L147" s="348"/>
    </row>
    <row r="148" spans="2:12">
      <c r="B148" s="345"/>
      <c r="C148" s="346"/>
      <c r="D148" s="273"/>
      <c r="E148" s="273"/>
      <c r="F148" s="273"/>
      <c r="G148" s="273"/>
      <c r="H148" s="347" t="str">
        <f t="shared" si="4"/>
        <v/>
      </c>
      <c r="I148" s="274" t="str">
        <f t="shared" si="5"/>
        <v/>
      </c>
      <c r="J148" s="335"/>
      <c r="K148" s="273"/>
      <c r="L148" s="348"/>
    </row>
    <row r="149" spans="2:12">
      <c r="B149" s="345"/>
      <c r="C149" s="346"/>
      <c r="D149" s="273"/>
      <c r="E149" s="273"/>
      <c r="F149" s="273"/>
      <c r="G149" s="273"/>
      <c r="H149" s="347" t="str">
        <f t="shared" si="4"/>
        <v/>
      </c>
      <c r="I149" s="274" t="str">
        <f t="shared" si="5"/>
        <v/>
      </c>
      <c r="J149" s="335"/>
      <c r="K149" s="273"/>
      <c r="L149" s="348"/>
    </row>
    <row r="150" spans="2:12">
      <c r="B150" s="345"/>
      <c r="C150" s="346"/>
      <c r="D150" s="273"/>
      <c r="E150" s="273"/>
      <c r="F150" s="273"/>
      <c r="G150" s="273"/>
      <c r="H150" s="347" t="str">
        <f t="shared" si="4"/>
        <v/>
      </c>
      <c r="I150" s="274" t="str">
        <f t="shared" si="5"/>
        <v/>
      </c>
      <c r="J150" s="335"/>
      <c r="K150" s="273"/>
      <c r="L150" s="348"/>
    </row>
    <row r="151" spans="2:12">
      <c r="B151" s="345"/>
      <c r="C151" s="346"/>
      <c r="D151" s="273"/>
      <c r="E151" s="273"/>
      <c r="F151" s="273"/>
      <c r="G151" s="273"/>
      <c r="H151" s="347" t="str">
        <f t="shared" si="4"/>
        <v/>
      </c>
      <c r="I151" s="274" t="str">
        <f t="shared" si="5"/>
        <v/>
      </c>
      <c r="J151" s="335"/>
      <c r="K151" s="273"/>
      <c r="L151" s="348"/>
    </row>
    <row r="152" spans="2:12">
      <c r="B152" s="345"/>
      <c r="C152" s="346"/>
      <c r="D152" s="273"/>
      <c r="E152" s="273"/>
      <c r="F152" s="273"/>
      <c r="G152" s="273"/>
      <c r="H152" s="347" t="str">
        <f t="shared" si="4"/>
        <v/>
      </c>
      <c r="I152" s="274" t="str">
        <f t="shared" si="5"/>
        <v/>
      </c>
      <c r="J152" s="335"/>
      <c r="K152" s="273"/>
      <c r="L152" s="348"/>
    </row>
    <row r="153" spans="2:12">
      <c r="B153" s="345"/>
      <c r="C153" s="346"/>
      <c r="D153" s="273"/>
      <c r="E153" s="273"/>
      <c r="F153" s="273"/>
      <c r="G153" s="273"/>
      <c r="H153" s="347" t="str">
        <f t="shared" si="4"/>
        <v/>
      </c>
      <c r="I153" s="274" t="str">
        <f t="shared" si="5"/>
        <v/>
      </c>
      <c r="J153" s="335"/>
      <c r="K153" s="273"/>
      <c r="L153" s="348"/>
    </row>
    <row r="154" spans="2:12">
      <c r="B154" s="345"/>
      <c r="C154" s="346"/>
      <c r="D154" s="273"/>
      <c r="E154" s="273"/>
      <c r="F154" s="273"/>
      <c r="G154" s="273"/>
      <c r="H154" s="347" t="str">
        <f t="shared" si="4"/>
        <v/>
      </c>
      <c r="I154" s="274" t="str">
        <f t="shared" si="5"/>
        <v/>
      </c>
      <c r="J154" s="335"/>
      <c r="K154" s="273"/>
      <c r="L154" s="348"/>
    </row>
    <row r="155" spans="2:12">
      <c r="B155" s="345"/>
      <c r="C155" s="346"/>
      <c r="D155" s="273"/>
      <c r="E155" s="273"/>
      <c r="F155" s="273"/>
      <c r="G155" s="273"/>
      <c r="H155" s="347" t="str">
        <f t="shared" si="4"/>
        <v/>
      </c>
      <c r="I155" s="274" t="str">
        <f t="shared" si="5"/>
        <v/>
      </c>
      <c r="J155" s="335"/>
      <c r="K155" s="273"/>
      <c r="L155" s="348"/>
    </row>
    <row r="156" spans="2:12">
      <c r="B156" s="345"/>
      <c r="C156" s="346"/>
      <c r="D156" s="273"/>
      <c r="E156" s="273"/>
      <c r="F156" s="273"/>
      <c r="G156" s="273"/>
      <c r="H156" s="347" t="str">
        <f t="shared" si="4"/>
        <v/>
      </c>
      <c r="I156" s="274" t="str">
        <f t="shared" si="5"/>
        <v/>
      </c>
      <c r="J156" s="335"/>
      <c r="K156" s="273"/>
      <c r="L156" s="348"/>
    </row>
    <row r="157" spans="2:12">
      <c r="B157" s="345"/>
      <c r="C157" s="346"/>
      <c r="D157" s="273"/>
      <c r="E157" s="273"/>
      <c r="F157" s="273"/>
      <c r="G157" s="273"/>
      <c r="H157" s="347" t="str">
        <f t="shared" si="4"/>
        <v/>
      </c>
      <c r="I157" s="274" t="str">
        <f t="shared" si="5"/>
        <v/>
      </c>
      <c r="J157" s="335"/>
      <c r="K157" s="273"/>
      <c r="L157" s="348"/>
    </row>
    <row r="158" spans="2:12">
      <c r="B158" s="345"/>
      <c r="C158" s="346"/>
      <c r="D158" s="273"/>
      <c r="E158" s="273"/>
      <c r="F158" s="273"/>
      <c r="G158" s="273"/>
      <c r="H158" s="347" t="str">
        <f t="shared" si="4"/>
        <v/>
      </c>
      <c r="I158" s="274" t="str">
        <f t="shared" si="5"/>
        <v/>
      </c>
      <c r="J158" s="335"/>
      <c r="K158" s="273"/>
      <c r="L158" s="348"/>
    </row>
    <row r="159" spans="2:12">
      <c r="B159" s="345"/>
      <c r="C159" s="346"/>
      <c r="D159" s="273"/>
      <c r="E159" s="273"/>
      <c r="F159" s="273"/>
      <c r="G159" s="273"/>
      <c r="H159" s="347" t="str">
        <f t="shared" si="4"/>
        <v/>
      </c>
      <c r="I159" s="274" t="str">
        <f t="shared" si="5"/>
        <v/>
      </c>
      <c r="J159" s="335"/>
      <c r="K159" s="273"/>
      <c r="L159" s="348"/>
    </row>
    <row r="160" spans="2:12">
      <c r="B160" s="345"/>
      <c r="C160" s="346"/>
      <c r="D160" s="273"/>
      <c r="E160" s="273"/>
      <c r="F160" s="273"/>
      <c r="G160" s="273"/>
      <c r="H160" s="347" t="str">
        <f t="shared" si="4"/>
        <v/>
      </c>
      <c r="I160" s="274" t="str">
        <f t="shared" si="5"/>
        <v/>
      </c>
      <c r="J160" s="335"/>
      <c r="K160" s="273"/>
      <c r="L160" s="348"/>
    </row>
    <row r="161" spans="2:12">
      <c r="B161" s="345"/>
      <c r="C161" s="346"/>
      <c r="D161" s="273"/>
      <c r="E161" s="273"/>
      <c r="F161" s="273"/>
      <c r="G161" s="273"/>
      <c r="H161" s="347" t="str">
        <f t="shared" si="4"/>
        <v/>
      </c>
      <c r="I161" s="274" t="str">
        <f t="shared" si="5"/>
        <v/>
      </c>
      <c r="J161" s="335"/>
      <c r="K161" s="273"/>
      <c r="L161" s="348"/>
    </row>
    <row r="162" spans="2:12">
      <c r="B162" s="345"/>
      <c r="C162" s="346"/>
      <c r="D162" s="273"/>
      <c r="E162" s="273"/>
      <c r="F162" s="273"/>
      <c r="G162" s="273"/>
      <c r="H162" s="347" t="str">
        <f t="shared" si="4"/>
        <v/>
      </c>
      <c r="I162" s="274" t="str">
        <f t="shared" si="5"/>
        <v/>
      </c>
      <c r="J162" s="335"/>
      <c r="K162" s="273"/>
      <c r="L162" s="348"/>
    </row>
    <row r="163" spans="2:12">
      <c r="B163" s="345"/>
      <c r="C163" s="346"/>
      <c r="D163" s="273"/>
      <c r="E163" s="273"/>
      <c r="F163" s="273"/>
      <c r="G163" s="273"/>
      <c r="H163" s="347" t="str">
        <f t="shared" si="4"/>
        <v/>
      </c>
      <c r="I163" s="274" t="str">
        <f t="shared" si="5"/>
        <v/>
      </c>
      <c r="J163" s="335"/>
      <c r="K163" s="273"/>
      <c r="L163" s="348"/>
    </row>
    <row r="164" spans="2:12">
      <c r="B164" s="345"/>
      <c r="C164" s="346"/>
      <c r="D164" s="273"/>
      <c r="E164" s="273"/>
      <c r="F164" s="273"/>
      <c r="G164" s="273"/>
      <c r="H164" s="347" t="str">
        <f t="shared" si="4"/>
        <v/>
      </c>
      <c r="I164" s="274" t="str">
        <f t="shared" si="5"/>
        <v/>
      </c>
      <c r="J164" s="335"/>
      <c r="K164" s="273"/>
      <c r="L164" s="348"/>
    </row>
    <row r="165" spans="2:12">
      <c r="B165" s="345"/>
      <c r="C165" s="346"/>
      <c r="D165" s="273"/>
      <c r="E165" s="273"/>
      <c r="F165" s="273"/>
      <c r="G165" s="273"/>
      <c r="H165" s="347" t="str">
        <f t="shared" si="4"/>
        <v/>
      </c>
      <c r="I165" s="274" t="str">
        <f t="shared" si="5"/>
        <v/>
      </c>
      <c r="J165" s="335"/>
      <c r="K165" s="273"/>
      <c r="L165" s="348"/>
    </row>
    <row r="166" spans="2:12">
      <c r="B166" s="345"/>
      <c r="C166" s="346"/>
      <c r="D166" s="273"/>
      <c r="E166" s="273"/>
      <c r="F166" s="273"/>
      <c r="G166" s="273"/>
      <c r="H166" s="347" t="str">
        <f t="shared" si="4"/>
        <v/>
      </c>
      <c r="I166" s="274" t="str">
        <f t="shared" si="5"/>
        <v/>
      </c>
      <c r="J166" s="335"/>
      <c r="K166" s="273"/>
      <c r="L166" s="348"/>
    </row>
    <row r="167" spans="2:12">
      <c r="B167" s="345"/>
      <c r="C167" s="346"/>
      <c r="D167" s="273"/>
      <c r="E167" s="273"/>
      <c r="F167" s="273"/>
      <c r="G167" s="273"/>
      <c r="H167" s="347" t="str">
        <f t="shared" si="4"/>
        <v/>
      </c>
      <c r="I167" s="274" t="str">
        <f t="shared" si="5"/>
        <v/>
      </c>
      <c r="J167" s="335"/>
      <c r="K167" s="273"/>
      <c r="L167" s="348"/>
    </row>
    <row r="168" spans="2:12">
      <c r="B168" s="345"/>
      <c r="C168" s="346"/>
      <c r="D168" s="273"/>
      <c r="E168" s="273"/>
      <c r="F168" s="273"/>
      <c r="G168" s="273"/>
      <c r="H168" s="347" t="str">
        <f t="shared" si="4"/>
        <v/>
      </c>
      <c r="I168" s="274" t="str">
        <f t="shared" si="5"/>
        <v/>
      </c>
      <c r="J168" s="335"/>
      <c r="K168" s="273"/>
      <c r="L168" s="348"/>
    </row>
    <row r="169" spans="2:12">
      <c r="B169" s="345"/>
      <c r="C169" s="346"/>
      <c r="D169" s="273"/>
      <c r="E169" s="273"/>
      <c r="F169" s="273"/>
      <c r="G169" s="273"/>
      <c r="H169" s="347" t="str">
        <f t="shared" si="4"/>
        <v/>
      </c>
      <c r="I169" s="274" t="str">
        <f t="shared" si="5"/>
        <v/>
      </c>
      <c r="J169" s="335"/>
      <c r="K169" s="273"/>
      <c r="L169" s="348"/>
    </row>
    <row r="170" spans="2:12">
      <c r="B170" s="345"/>
      <c r="C170" s="346"/>
      <c r="D170" s="273"/>
      <c r="E170" s="273"/>
      <c r="F170" s="273"/>
      <c r="G170" s="273"/>
      <c r="H170" s="347" t="str">
        <f t="shared" si="4"/>
        <v/>
      </c>
      <c r="I170" s="274" t="str">
        <f t="shared" si="5"/>
        <v/>
      </c>
      <c r="J170" s="335"/>
      <c r="K170" s="273"/>
      <c r="L170" s="348"/>
    </row>
    <row r="171" spans="2:12">
      <c r="B171" s="345"/>
      <c r="C171" s="346"/>
      <c r="D171" s="273"/>
      <c r="E171" s="273"/>
      <c r="F171" s="273"/>
      <c r="G171" s="273"/>
      <c r="H171" s="347" t="str">
        <f t="shared" si="4"/>
        <v/>
      </c>
      <c r="I171" s="274" t="str">
        <f t="shared" si="5"/>
        <v/>
      </c>
      <c r="J171" s="335"/>
      <c r="K171" s="273"/>
      <c r="L171" s="348"/>
    </row>
    <row r="172" spans="2:12">
      <c r="B172" s="345"/>
      <c r="C172" s="346"/>
      <c r="D172" s="273"/>
      <c r="E172" s="273"/>
      <c r="F172" s="273"/>
      <c r="G172" s="273"/>
      <c r="H172" s="347" t="str">
        <f t="shared" si="4"/>
        <v/>
      </c>
      <c r="I172" s="274" t="str">
        <f t="shared" si="5"/>
        <v/>
      </c>
      <c r="J172" s="335"/>
      <c r="K172" s="273"/>
      <c r="L172" s="348"/>
    </row>
    <row r="173" spans="2:12">
      <c r="B173" s="345"/>
      <c r="C173" s="346"/>
      <c r="D173" s="273"/>
      <c r="E173" s="273"/>
      <c r="F173" s="273"/>
      <c r="G173" s="273"/>
      <c r="H173" s="347" t="str">
        <f t="shared" si="4"/>
        <v/>
      </c>
      <c r="I173" s="274" t="str">
        <f t="shared" si="5"/>
        <v/>
      </c>
      <c r="J173" s="335"/>
      <c r="K173" s="273"/>
      <c r="L173" s="348"/>
    </row>
    <row r="174" spans="2:12">
      <c r="B174" s="345"/>
      <c r="C174" s="346"/>
      <c r="D174" s="273"/>
      <c r="E174" s="273"/>
      <c r="F174" s="273"/>
      <c r="G174" s="273"/>
      <c r="H174" s="347" t="str">
        <f t="shared" si="4"/>
        <v/>
      </c>
      <c r="I174" s="274" t="str">
        <f t="shared" si="5"/>
        <v/>
      </c>
      <c r="J174" s="335"/>
      <c r="K174" s="273"/>
      <c r="L174" s="348"/>
    </row>
    <row r="175" spans="2:12">
      <c r="B175" s="345"/>
      <c r="C175" s="346"/>
      <c r="D175" s="273"/>
      <c r="E175" s="273"/>
      <c r="F175" s="273"/>
      <c r="G175" s="273"/>
      <c r="H175" s="347" t="str">
        <f t="shared" si="4"/>
        <v/>
      </c>
      <c r="I175" s="274" t="str">
        <f t="shared" si="5"/>
        <v/>
      </c>
      <c r="J175" s="335"/>
      <c r="K175" s="273"/>
      <c r="L175" s="348"/>
    </row>
    <row r="176" spans="2:12">
      <c r="B176" s="345"/>
      <c r="C176" s="346"/>
      <c r="D176" s="273"/>
      <c r="E176" s="273"/>
      <c r="F176" s="273"/>
      <c r="G176" s="273"/>
      <c r="H176" s="347" t="str">
        <f t="shared" si="4"/>
        <v/>
      </c>
      <c r="I176" s="274" t="str">
        <f t="shared" si="5"/>
        <v/>
      </c>
      <c r="J176" s="335"/>
      <c r="K176" s="273"/>
      <c r="L176" s="348"/>
    </row>
    <row r="177" spans="2:12">
      <c r="B177" s="345"/>
      <c r="C177" s="346"/>
      <c r="D177" s="273"/>
      <c r="E177" s="273"/>
      <c r="F177" s="273"/>
      <c r="G177" s="273"/>
      <c r="H177" s="347" t="str">
        <f t="shared" si="4"/>
        <v/>
      </c>
      <c r="I177" s="274" t="str">
        <f t="shared" si="5"/>
        <v/>
      </c>
      <c r="J177" s="335"/>
      <c r="K177" s="273"/>
      <c r="L177" s="348"/>
    </row>
    <row r="178" spans="2:12">
      <c r="B178" s="345"/>
      <c r="C178" s="346"/>
      <c r="D178" s="273"/>
      <c r="E178" s="273"/>
      <c r="F178" s="273"/>
      <c r="G178" s="273"/>
      <c r="H178" s="347" t="str">
        <f t="shared" si="4"/>
        <v/>
      </c>
      <c r="I178" s="274" t="str">
        <f t="shared" si="5"/>
        <v/>
      </c>
      <c r="J178" s="335"/>
      <c r="K178" s="273"/>
      <c r="L178" s="348"/>
    </row>
    <row r="179" spans="2:12">
      <c r="B179" s="345"/>
      <c r="C179" s="346"/>
      <c r="D179" s="273"/>
      <c r="E179" s="273"/>
      <c r="F179" s="273"/>
      <c r="G179" s="273"/>
      <c r="H179" s="347" t="str">
        <f t="shared" si="4"/>
        <v/>
      </c>
      <c r="I179" s="274" t="str">
        <f t="shared" si="5"/>
        <v/>
      </c>
      <c r="J179" s="335"/>
      <c r="K179" s="273"/>
      <c r="L179" s="348"/>
    </row>
    <row r="180" spans="2:12">
      <c r="B180" s="345"/>
      <c r="C180" s="346"/>
      <c r="D180" s="273"/>
      <c r="E180" s="273"/>
      <c r="F180" s="273"/>
      <c r="G180" s="273"/>
      <c r="H180" s="347" t="str">
        <f t="shared" si="4"/>
        <v/>
      </c>
      <c r="I180" s="274" t="str">
        <f t="shared" si="5"/>
        <v/>
      </c>
      <c r="J180" s="335"/>
      <c r="K180" s="273"/>
      <c r="L180" s="348"/>
    </row>
    <row r="181" spans="2:12">
      <c r="B181" s="345"/>
      <c r="C181" s="346"/>
      <c r="D181" s="273"/>
      <c r="E181" s="273"/>
      <c r="F181" s="273"/>
      <c r="G181" s="273"/>
      <c r="H181" s="347" t="str">
        <f t="shared" si="4"/>
        <v/>
      </c>
      <c r="I181" s="274" t="str">
        <f t="shared" si="5"/>
        <v/>
      </c>
      <c r="J181" s="335"/>
      <c r="K181" s="273"/>
      <c r="L181" s="348"/>
    </row>
    <row r="182" spans="2:12">
      <c r="B182" s="345"/>
      <c r="C182" s="346"/>
      <c r="D182" s="273"/>
      <c r="E182" s="273"/>
      <c r="F182" s="273"/>
      <c r="G182" s="273"/>
      <c r="H182" s="347" t="str">
        <f t="shared" si="4"/>
        <v/>
      </c>
      <c r="I182" s="274" t="str">
        <f t="shared" si="5"/>
        <v/>
      </c>
      <c r="J182" s="335"/>
      <c r="K182" s="273"/>
      <c r="L182" s="348"/>
    </row>
    <row r="183" spans="2:12">
      <c r="B183" s="345"/>
      <c r="C183" s="346"/>
      <c r="D183" s="273"/>
      <c r="E183" s="273"/>
      <c r="F183" s="273"/>
      <c r="G183" s="273"/>
      <c r="H183" s="347" t="str">
        <f t="shared" si="4"/>
        <v/>
      </c>
      <c r="I183" s="274" t="str">
        <f t="shared" si="5"/>
        <v/>
      </c>
      <c r="J183" s="335"/>
      <c r="K183" s="273"/>
      <c r="L183" s="348"/>
    </row>
    <row r="184" spans="2:12">
      <c r="B184" s="345"/>
      <c r="C184" s="346"/>
      <c r="D184" s="273"/>
      <c r="E184" s="273"/>
      <c r="F184" s="273"/>
      <c r="G184" s="273"/>
      <c r="H184" s="347" t="str">
        <f t="shared" si="4"/>
        <v/>
      </c>
      <c r="I184" s="274" t="str">
        <f t="shared" si="5"/>
        <v/>
      </c>
      <c r="J184" s="335"/>
      <c r="K184" s="273"/>
      <c r="L184" s="348"/>
    </row>
    <row r="185" spans="2:12">
      <c r="B185" s="345"/>
      <c r="C185" s="346"/>
      <c r="D185" s="273"/>
      <c r="E185" s="273"/>
      <c r="F185" s="273"/>
      <c r="G185" s="273"/>
      <c r="H185" s="347" t="str">
        <f t="shared" si="4"/>
        <v/>
      </c>
      <c r="I185" s="274" t="str">
        <f t="shared" si="5"/>
        <v/>
      </c>
      <c r="J185" s="335"/>
      <c r="K185" s="273"/>
      <c r="L185" s="348"/>
    </row>
    <row r="186" spans="2:12">
      <c r="B186" s="345"/>
      <c r="C186" s="346"/>
      <c r="D186" s="273"/>
      <c r="E186" s="273"/>
      <c r="F186" s="273"/>
      <c r="G186" s="273"/>
      <c r="H186" s="347" t="str">
        <f t="shared" si="4"/>
        <v/>
      </c>
      <c r="I186" s="274" t="str">
        <f t="shared" si="5"/>
        <v/>
      </c>
      <c r="J186" s="335"/>
      <c r="K186" s="273"/>
      <c r="L186" s="348"/>
    </row>
    <row r="187" spans="2:12">
      <c r="B187" s="345"/>
      <c r="C187" s="346"/>
      <c r="D187" s="273"/>
      <c r="E187" s="273"/>
      <c r="F187" s="273"/>
      <c r="G187" s="273"/>
      <c r="H187" s="347" t="str">
        <f t="shared" si="4"/>
        <v/>
      </c>
      <c r="I187" s="274" t="str">
        <f t="shared" si="5"/>
        <v/>
      </c>
      <c r="J187" s="335"/>
      <c r="K187" s="273"/>
      <c r="L187" s="348"/>
    </row>
    <row r="188" spans="2:12">
      <c r="B188" s="345"/>
      <c r="C188" s="346"/>
      <c r="D188" s="273"/>
      <c r="E188" s="273"/>
      <c r="F188" s="273"/>
      <c r="G188" s="273"/>
      <c r="H188" s="347" t="str">
        <f t="shared" si="4"/>
        <v/>
      </c>
      <c r="I188" s="274" t="str">
        <f t="shared" si="5"/>
        <v/>
      </c>
      <c r="J188" s="335"/>
      <c r="K188" s="273"/>
      <c r="L188" s="348"/>
    </row>
    <row r="189" spans="2:12">
      <c r="B189" s="345"/>
      <c r="C189" s="346"/>
      <c r="D189" s="273"/>
      <c r="E189" s="273"/>
      <c r="F189" s="273"/>
      <c r="G189" s="273"/>
      <c r="H189" s="347" t="str">
        <f t="shared" si="4"/>
        <v/>
      </c>
      <c r="I189" s="274" t="str">
        <f t="shared" si="5"/>
        <v/>
      </c>
      <c r="J189" s="335"/>
      <c r="K189" s="273"/>
      <c r="L189" s="348"/>
    </row>
    <row r="190" spans="2:12">
      <c r="B190" s="345"/>
      <c r="C190" s="346"/>
      <c r="D190" s="273"/>
      <c r="E190" s="273"/>
      <c r="F190" s="273"/>
      <c r="G190" s="273"/>
      <c r="H190" s="347" t="str">
        <f t="shared" si="4"/>
        <v/>
      </c>
      <c r="I190" s="274" t="str">
        <f t="shared" si="5"/>
        <v/>
      </c>
      <c r="J190" s="335"/>
      <c r="K190" s="273"/>
      <c r="L190" s="348"/>
    </row>
    <row r="191" spans="2:12">
      <c r="B191" s="345"/>
      <c r="C191" s="346"/>
      <c r="D191" s="273"/>
      <c r="E191" s="273"/>
      <c r="F191" s="273"/>
      <c r="G191" s="273"/>
      <c r="H191" s="347" t="str">
        <f t="shared" si="4"/>
        <v/>
      </c>
      <c r="I191" s="274" t="str">
        <f t="shared" si="5"/>
        <v/>
      </c>
      <c r="J191" s="335"/>
      <c r="K191" s="273"/>
      <c r="L191" s="348"/>
    </row>
    <row r="192" spans="2:12">
      <c r="B192" s="345"/>
      <c r="C192" s="346"/>
      <c r="D192" s="273"/>
      <c r="E192" s="273"/>
      <c r="F192" s="273"/>
      <c r="G192" s="273"/>
      <c r="H192" s="347" t="str">
        <f t="shared" si="4"/>
        <v/>
      </c>
      <c r="I192" s="274" t="str">
        <f t="shared" si="5"/>
        <v/>
      </c>
      <c r="J192" s="335"/>
      <c r="K192" s="273"/>
      <c r="L192" s="348"/>
    </row>
    <row r="193" spans="2:12">
      <c r="B193" s="345"/>
      <c r="C193" s="346"/>
      <c r="D193" s="273"/>
      <c r="E193" s="273"/>
      <c r="F193" s="273"/>
      <c r="G193" s="273"/>
      <c r="H193" s="347" t="str">
        <f t="shared" si="4"/>
        <v/>
      </c>
      <c r="I193" s="274" t="str">
        <f t="shared" si="5"/>
        <v/>
      </c>
      <c r="J193" s="335"/>
      <c r="K193" s="273"/>
      <c r="L193" s="348"/>
    </row>
    <row r="194" spans="2:12">
      <c r="B194" s="345"/>
      <c r="C194" s="346"/>
      <c r="D194" s="273"/>
      <c r="E194" s="273"/>
      <c r="F194" s="273"/>
      <c r="G194" s="273"/>
      <c r="H194" s="347" t="str">
        <f t="shared" si="4"/>
        <v/>
      </c>
      <c r="I194" s="274" t="str">
        <f t="shared" si="5"/>
        <v/>
      </c>
      <c r="J194" s="335"/>
      <c r="K194" s="273"/>
      <c r="L194" s="348"/>
    </row>
    <row r="195" spans="2:12">
      <c r="B195" s="345"/>
      <c r="C195" s="346"/>
      <c r="D195" s="273"/>
      <c r="E195" s="273"/>
      <c r="F195" s="273"/>
      <c r="G195" s="273"/>
      <c r="H195" s="347" t="str">
        <f t="shared" si="4"/>
        <v/>
      </c>
      <c r="I195" s="274" t="str">
        <f t="shared" si="5"/>
        <v/>
      </c>
      <c r="J195" s="335"/>
      <c r="K195" s="273"/>
      <c r="L195" s="348"/>
    </row>
    <row r="196" spans="2:12">
      <c r="B196" s="345"/>
      <c r="C196" s="346"/>
      <c r="D196" s="273"/>
      <c r="E196" s="273"/>
      <c r="F196" s="273"/>
      <c r="G196" s="273"/>
      <c r="H196" s="347" t="str">
        <f t="shared" si="4"/>
        <v/>
      </c>
      <c r="I196" s="274" t="str">
        <f t="shared" si="5"/>
        <v/>
      </c>
      <c r="J196" s="335"/>
      <c r="K196" s="273"/>
      <c r="L196" s="348"/>
    </row>
    <row r="197" spans="2:12">
      <c r="B197" s="345"/>
      <c r="C197" s="346"/>
      <c r="D197" s="273"/>
      <c r="E197" s="273"/>
      <c r="F197" s="273"/>
      <c r="G197" s="273"/>
      <c r="H197" s="347" t="str">
        <f t="shared" si="4"/>
        <v/>
      </c>
      <c r="I197" s="274" t="str">
        <f t="shared" si="5"/>
        <v/>
      </c>
      <c r="J197" s="335"/>
      <c r="K197" s="273"/>
      <c r="L197" s="348"/>
    </row>
    <row r="198" spans="2:12">
      <c r="B198" s="345"/>
      <c r="C198" s="346"/>
      <c r="D198" s="273"/>
      <c r="E198" s="273"/>
      <c r="F198" s="273"/>
      <c r="G198" s="273"/>
      <c r="H198" s="347" t="str">
        <f t="shared" si="4"/>
        <v/>
      </c>
      <c r="I198" s="274" t="str">
        <f t="shared" si="5"/>
        <v/>
      </c>
      <c r="J198" s="335"/>
      <c r="K198" s="273"/>
      <c r="L198" s="348"/>
    </row>
    <row r="199" spans="2:12">
      <c r="B199" s="345"/>
      <c r="C199" s="346"/>
      <c r="D199" s="273"/>
      <c r="E199" s="273"/>
      <c r="F199" s="273"/>
      <c r="G199" s="273"/>
      <c r="H199" s="347" t="str">
        <f t="shared" si="4"/>
        <v/>
      </c>
      <c r="I199" s="274" t="str">
        <f t="shared" si="5"/>
        <v/>
      </c>
      <c r="J199" s="335"/>
      <c r="K199" s="273"/>
      <c r="L199" s="348"/>
    </row>
    <row r="200" spans="2:12">
      <c r="B200" s="345"/>
      <c r="C200" s="346"/>
      <c r="D200" s="273"/>
      <c r="E200" s="273"/>
      <c r="F200" s="273"/>
      <c r="G200" s="273"/>
      <c r="H200" s="347" t="str">
        <f t="shared" si="4"/>
        <v/>
      </c>
      <c r="I200" s="274" t="str">
        <f t="shared" si="5"/>
        <v/>
      </c>
      <c r="J200" s="335"/>
      <c r="K200" s="273"/>
      <c r="L200" s="348"/>
    </row>
    <row r="201" spans="2:12">
      <c r="B201" s="345"/>
      <c r="C201" s="346"/>
      <c r="D201" s="273"/>
      <c r="E201" s="273"/>
      <c r="F201" s="273"/>
      <c r="G201" s="273"/>
      <c r="H201" s="347" t="str">
        <f t="shared" si="4"/>
        <v/>
      </c>
      <c r="I201" s="274" t="str">
        <f t="shared" si="5"/>
        <v/>
      </c>
      <c r="J201" s="335"/>
      <c r="K201" s="273"/>
      <c r="L201" s="348"/>
    </row>
    <row r="202" spans="2:12">
      <c r="B202" s="345"/>
      <c r="C202" s="346"/>
      <c r="D202" s="273"/>
      <c r="E202" s="273"/>
      <c r="F202" s="273"/>
      <c r="G202" s="273"/>
      <c r="H202" s="347" t="str">
        <f t="shared" si="4"/>
        <v/>
      </c>
      <c r="I202" s="274" t="str">
        <f t="shared" si="5"/>
        <v/>
      </c>
      <c r="J202" s="335"/>
      <c r="K202" s="273"/>
      <c r="L202" s="348"/>
    </row>
    <row r="203" spans="2:12">
      <c r="B203" s="345"/>
      <c r="C203" s="346"/>
      <c r="D203" s="273"/>
      <c r="E203" s="273"/>
      <c r="F203" s="273"/>
      <c r="G203" s="273"/>
      <c r="H203" s="347" t="str">
        <f t="shared" ref="H203:H266" si="6">IF(G203="Large","NRS",IF(G203="International","FRS",IF(G203="SME - Medium","SME",IF(G203="SME - Micro","SME",IF(G203="SME - Small","SME","")))))</f>
        <v/>
      </c>
      <c r="I203" s="274" t="str">
        <f t="shared" ref="I203:I266" si="7">IF(H203="FRS","No","")</f>
        <v/>
      </c>
      <c r="J203" s="335"/>
      <c r="K203" s="273"/>
      <c r="L203" s="348"/>
    </row>
    <row r="204" spans="2:12">
      <c r="B204" s="345"/>
      <c r="C204" s="346"/>
      <c r="D204" s="273"/>
      <c r="E204" s="273"/>
      <c r="F204" s="273"/>
      <c r="G204" s="273"/>
      <c r="H204" s="347" t="str">
        <f t="shared" si="6"/>
        <v/>
      </c>
      <c r="I204" s="274" t="str">
        <f t="shared" si="7"/>
        <v/>
      </c>
      <c r="J204" s="335"/>
      <c r="K204" s="273"/>
      <c r="L204" s="348"/>
    </row>
    <row r="205" spans="2:12">
      <c r="B205" s="345"/>
      <c r="C205" s="346"/>
      <c r="D205" s="273"/>
      <c r="E205" s="273"/>
      <c r="F205" s="273"/>
      <c r="G205" s="273"/>
      <c r="H205" s="347" t="str">
        <f t="shared" si="6"/>
        <v/>
      </c>
      <c r="I205" s="274" t="str">
        <f t="shared" si="7"/>
        <v/>
      </c>
      <c r="J205" s="335"/>
      <c r="K205" s="273"/>
      <c r="L205" s="348"/>
    </row>
    <row r="206" spans="2:12">
      <c r="B206" s="345"/>
      <c r="C206" s="346"/>
      <c r="D206" s="273"/>
      <c r="E206" s="273"/>
      <c r="F206" s="273"/>
      <c r="G206" s="273"/>
      <c r="H206" s="347" t="str">
        <f t="shared" si="6"/>
        <v/>
      </c>
      <c r="I206" s="274" t="str">
        <f t="shared" si="7"/>
        <v/>
      </c>
      <c r="J206" s="335"/>
      <c r="K206" s="273"/>
      <c r="L206" s="348"/>
    </row>
    <row r="207" spans="2:12">
      <c r="B207" s="345"/>
      <c r="C207" s="346"/>
      <c r="D207" s="273"/>
      <c r="E207" s="273"/>
      <c r="F207" s="273"/>
      <c r="G207" s="273"/>
      <c r="H207" s="347" t="str">
        <f t="shared" si="6"/>
        <v/>
      </c>
      <c r="I207" s="274" t="str">
        <f t="shared" si="7"/>
        <v/>
      </c>
      <c r="J207" s="335"/>
      <c r="K207" s="273"/>
      <c r="L207" s="348"/>
    </row>
    <row r="208" spans="2:12">
      <c r="B208" s="345"/>
      <c r="C208" s="346"/>
      <c r="D208" s="273"/>
      <c r="E208" s="273"/>
      <c r="F208" s="273"/>
      <c r="G208" s="273"/>
      <c r="H208" s="347" t="str">
        <f t="shared" si="6"/>
        <v/>
      </c>
      <c r="I208" s="274" t="str">
        <f t="shared" si="7"/>
        <v/>
      </c>
      <c r="J208" s="335"/>
      <c r="K208" s="273"/>
      <c r="L208" s="348"/>
    </row>
    <row r="209" spans="2:12">
      <c r="B209" s="345"/>
      <c r="C209" s="346"/>
      <c r="D209" s="273"/>
      <c r="E209" s="273"/>
      <c r="F209" s="273"/>
      <c r="G209" s="273"/>
      <c r="H209" s="347" t="str">
        <f t="shared" si="6"/>
        <v/>
      </c>
      <c r="I209" s="274" t="str">
        <f t="shared" si="7"/>
        <v/>
      </c>
      <c r="J209" s="335"/>
      <c r="K209" s="273"/>
      <c r="L209" s="348"/>
    </row>
    <row r="210" spans="2:12">
      <c r="B210" s="345"/>
      <c r="C210" s="346"/>
      <c r="D210" s="273"/>
      <c r="E210" s="273"/>
      <c r="F210" s="273"/>
      <c r="G210" s="273"/>
      <c r="H210" s="347" t="str">
        <f t="shared" si="6"/>
        <v/>
      </c>
      <c r="I210" s="274" t="str">
        <f t="shared" si="7"/>
        <v/>
      </c>
      <c r="J210" s="335"/>
      <c r="K210" s="273"/>
      <c r="L210" s="348"/>
    </row>
    <row r="211" spans="2:12">
      <c r="B211" s="345"/>
      <c r="C211" s="346"/>
      <c r="D211" s="273"/>
      <c r="E211" s="273"/>
      <c r="F211" s="273"/>
      <c r="G211" s="273"/>
      <c r="H211" s="347" t="str">
        <f t="shared" si="6"/>
        <v/>
      </c>
      <c r="I211" s="274" t="str">
        <f t="shared" si="7"/>
        <v/>
      </c>
      <c r="J211" s="335"/>
      <c r="K211" s="273"/>
      <c r="L211" s="348"/>
    </row>
    <row r="212" spans="2:12">
      <c r="B212" s="345"/>
      <c r="C212" s="346"/>
      <c r="D212" s="273"/>
      <c r="E212" s="273"/>
      <c r="F212" s="273"/>
      <c r="G212" s="273"/>
      <c r="H212" s="347" t="str">
        <f t="shared" si="6"/>
        <v/>
      </c>
      <c r="I212" s="274" t="str">
        <f t="shared" si="7"/>
        <v/>
      </c>
      <c r="J212" s="335"/>
      <c r="K212" s="273"/>
      <c r="L212" s="348"/>
    </row>
    <row r="213" spans="2:12">
      <c r="B213" s="345"/>
      <c r="C213" s="346"/>
      <c r="D213" s="273"/>
      <c r="E213" s="273"/>
      <c r="F213" s="273"/>
      <c r="G213" s="273"/>
      <c r="H213" s="347" t="str">
        <f t="shared" si="6"/>
        <v/>
      </c>
      <c r="I213" s="274" t="str">
        <f t="shared" si="7"/>
        <v/>
      </c>
      <c r="J213" s="335"/>
      <c r="K213" s="273"/>
      <c r="L213" s="348"/>
    </row>
    <row r="214" spans="2:12">
      <c r="B214" s="345"/>
      <c r="C214" s="346"/>
      <c r="D214" s="273"/>
      <c r="E214" s="273"/>
      <c r="F214" s="273"/>
      <c r="G214" s="273"/>
      <c r="H214" s="347" t="str">
        <f t="shared" si="6"/>
        <v/>
      </c>
      <c r="I214" s="274" t="str">
        <f t="shared" si="7"/>
        <v/>
      </c>
      <c r="J214" s="335"/>
      <c r="K214" s="273"/>
      <c r="L214" s="348"/>
    </row>
    <row r="215" spans="2:12">
      <c r="B215" s="345"/>
      <c r="C215" s="346"/>
      <c r="D215" s="273"/>
      <c r="E215" s="273"/>
      <c r="F215" s="273"/>
      <c r="G215" s="273"/>
      <c r="H215" s="347" t="str">
        <f t="shared" si="6"/>
        <v/>
      </c>
      <c r="I215" s="274" t="str">
        <f t="shared" si="7"/>
        <v/>
      </c>
      <c r="J215" s="335"/>
      <c r="K215" s="273"/>
      <c r="L215" s="348"/>
    </row>
    <row r="216" spans="2:12">
      <c r="B216" s="345"/>
      <c r="C216" s="346"/>
      <c r="D216" s="273"/>
      <c r="E216" s="273"/>
      <c r="F216" s="273"/>
      <c r="G216" s="273"/>
      <c r="H216" s="347" t="str">
        <f t="shared" si="6"/>
        <v/>
      </c>
      <c r="I216" s="274" t="str">
        <f t="shared" si="7"/>
        <v/>
      </c>
      <c r="J216" s="335"/>
      <c r="K216" s="273"/>
      <c r="L216" s="348"/>
    </row>
    <row r="217" spans="2:12">
      <c r="B217" s="345"/>
      <c r="C217" s="346"/>
      <c r="D217" s="273"/>
      <c r="E217" s="273"/>
      <c r="F217" s="273"/>
      <c r="G217" s="273"/>
      <c r="H217" s="347" t="str">
        <f t="shared" si="6"/>
        <v/>
      </c>
      <c r="I217" s="274" t="str">
        <f t="shared" si="7"/>
        <v/>
      </c>
      <c r="J217" s="335"/>
      <c r="K217" s="273"/>
      <c r="L217" s="348"/>
    </row>
    <row r="218" spans="2:12">
      <c r="B218" s="345"/>
      <c r="C218" s="346"/>
      <c r="D218" s="273"/>
      <c r="E218" s="273"/>
      <c r="F218" s="273"/>
      <c r="G218" s="273"/>
      <c r="H218" s="347" t="str">
        <f t="shared" si="6"/>
        <v/>
      </c>
      <c r="I218" s="274" t="str">
        <f t="shared" si="7"/>
        <v/>
      </c>
      <c r="J218" s="335"/>
      <c r="K218" s="273"/>
      <c r="L218" s="348"/>
    </row>
    <row r="219" spans="2:12">
      <c r="B219" s="345"/>
      <c r="C219" s="346"/>
      <c r="D219" s="273"/>
      <c r="E219" s="273"/>
      <c r="F219" s="273"/>
      <c r="G219" s="273"/>
      <c r="H219" s="347" t="str">
        <f t="shared" si="6"/>
        <v/>
      </c>
      <c r="I219" s="274" t="str">
        <f t="shared" si="7"/>
        <v/>
      </c>
      <c r="J219" s="335"/>
      <c r="K219" s="273"/>
      <c r="L219" s="348"/>
    </row>
    <row r="220" spans="2:12">
      <c r="B220" s="345"/>
      <c r="C220" s="346"/>
      <c r="D220" s="273"/>
      <c r="E220" s="273"/>
      <c r="F220" s="273"/>
      <c r="G220" s="273"/>
      <c r="H220" s="347" t="str">
        <f t="shared" si="6"/>
        <v/>
      </c>
      <c r="I220" s="274" t="str">
        <f t="shared" si="7"/>
        <v/>
      </c>
      <c r="J220" s="335"/>
      <c r="K220" s="273"/>
      <c r="L220" s="348"/>
    </row>
    <row r="221" spans="2:12">
      <c r="B221" s="345"/>
      <c r="C221" s="346"/>
      <c r="D221" s="273"/>
      <c r="E221" s="273"/>
      <c r="F221" s="273"/>
      <c r="G221" s="273"/>
      <c r="H221" s="347" t="str">
        <f t="shared" si="6"/>
        <v/>
      </c>
      <c r="I221" s="274" t="str">
        <f t="shared" si="7"/>
        <v/>
      </c>
      <c r="J221" s="335"/>
      <c r="K221" s="273"/>
      <c r="L221" s="348"/>
    </row>
    <row r="222" spans="2:12">
      <c r="B222" s="345"/>
      <c r="C222" s="346"/>
      <c r="D222" s="273"/>
      <c r="E222" s="273"/>
      <c r="F222" s="273"/>
      <c r="G222" s="273"/>
      <c r="H222" s="347" t="str">
        <f t="shared" si="6"/>
        <v/>
      </c>
      <c r="I222" s="274" t="str">
        <f t="shared" si="7"/>
        <v/>
      </c>
      <c r="J222" s="335"/>
      <c r="K222" s="273"/>
      <c r="L222" s="348"/>
    </row>
    <row r="223" spans="2:12">
      <c r="B223" s="345"/>
      <c r="C223" s="346"/>
      <c r="D223" s="273"/>
      <c r="E223" s="273"/>
      <c r="F223" s="273"/>
      <c r="G223" s="273"/>
      <c r="H223" s="347" t="str">
        <f t="shared" si="6"/>
        <v/>
      </c>
      <c r="I223" s="274" t="str">
        <f t="shared" si="7"/>
        <v/>
      </c>
      <c r="J223" s="335"/>
      <c r="K223" s="273"/>
      <c r="L223" s="348"/>
    </row>
    <row r="224" spans="2:12">
      <c r="B224" s="345"/>
      <c r="C224" s="346"/>
      <c r="D224" s="273"/>
      <c r="E224" s="273"/>
      <c r="F224" s="273"/>
      <c r="G224" s="273"/>
      <c r="H224" s="347" t="str">
        <f t="shared" si="6"/>
        <v/>
      </c>
      <c r="I224" s="274" t="str">
        <f t="shared" si="7"/>
        <v/>
      </c>
      <c r="J224" s="335"/>
      <c r="K224" s="273"/>
      <c r="L224" s="348"/>
    </row>
    <row r="225" spans="2:12">
      <c r="B225" s="345"/>
      <c r="C225" s="346"/>
      <c r="D225" s="273"/>
      <c r="E225" s="273"/>
      <c r="F225" s="273"/>
      <c r="G225" s="273"/>
      <c r="H225" s="347" t="str">
        <f t="shared" si="6"/>
        <v/>
      </c>
      <c r="I225" s="274" t="str">
        <f t="shared" si="7"/>
        <v/>
      </c>
      <c r="J225" s="335"/>
      <c r="K225" s="273"/>
      <c r="L225" s="348"/>
    </row>
    <row r="226" spans="2:12">
      <c r="B226" s="345"/>
      <c r="C226" s="346"/>
      <c r="D226" s="273"/>
      <c r="E226" s="273"/>
      <c r="F226" s="273"/>
      <c r="G226" s="273"/>
      <c r="H226" s="347" t="str">
        <f t="shared" si="6"/>
        <v/>
      </c>
      <c r="I226" s="274" t="str">
        <f t="shared" si="7"/>
        <v/>
      </c>
      <c r="J226" s="335"/>
      <c r="K226" s="273"/>
      <c r="L226" s="348"/>
    </row>
    <row r="227" spans="2:12">
      <c r="B227" s="345"/>
      <c r="C227" s="346"/>
      <c r="D227" s="273"/>
      <c r="E227" s="273"/>
      <c r="F227" s="273"/>
      <c r="G227" s="273"/>
      <c r="H227" s="347" t="str">
        <f t="shared" si="6"/>
        <v/>
      </c>
      <c r="I227" s="274" t="str">
        <f t="shared" si="7"/>
        <v/>
      </c>
      <c r="J227" s="335"/>
      <c r="K227" s="273"/>
      <c r="L227" s="348"/>
    </row>
    <row r="228" spans="2:12">
      <c r="B228" s="345"/>
      <c r="C228" s="346"/>
      <c r="D228" s="273"/>
      <c r="E228" s="273"/>
      <c r="F228" s="273"/>
      <c r="G228" s="273"/>
      <c r="H228" s="347" t="str">
        <f t="shared" si="6"/>
        <v/>
      </c>
      <c r="I228" s="274" t="str">
        <f t="shared" si="7"/>
        <v/>
      </c>
      <c r="J228" s="335"/>
      <c r="K228" s="273"/>
      <c r="L228" s="348"/>
    </row>
    <row r="229" spans="2:12">
      <c r="B229" s="345"/>
      <c r="C229" s="346"/>
      <c r="D229" s="273"/>
      <c r="E229" s="273"/>
      <c r="F229" s="273"/>
      <c r="G229" s="273"/>
      <c r="H229" s="347" t="str">
        <f t="shared" si="6"/>
        <v/>
      </c>
      <c r="I229" s="274" t="str">
        <f t="shared" si="7"/>
        <v/>
      </c>
      <c r="J229" s="335"/>
      <c r="K229" s="273"/>
      <c r="L229" s="348"/>
    </row>
    <row r="230" spans="2:12">
      <c r="B230" s="345"/>
      <c r="C230" s="346"/>
      <c r="D230" s="273"/>
      <c r="E230" s="273"/>
      <c r="F230" s="273"/>
      <c r="G230" s="273"/>
      <c r="H230" s="347" t="str">
        <f t="shared" si="6"/>
        <v/>
      </c>
      <c r="I230" s="274" t="str">
        <f t="shared" si="7"/>
        <v/>
      </c>
      <c r="J230" s="335"/>
      <c r="K230" s="273"/>
      <c r="L230" s="348"/>
    </row>
    <row r="231" spans="2:12">
      <c r="B231" s="345"/>
      <c r="C231" s="346"/>
      <c r="D231" s="273"/>
      <c r="E231" s="273"/>
      <c r="F231" s="273"/>
      <c r="G231" s="273"/>
      <c r="H231" s="347" t="str">
        <f t="shared" si="6"/>
        <v/>
      </c>
      <c r="I231" s="274" t="str">
        <f t="shared" si="7"/>
        <v/>
      </c>
      <c r="J231" s="335"/>
      <c r="K231" s="273"/>
      <c r="L231" s="348"/>
    </row>
    <row r="232" spans="2:12">
      <c r="B232" s="345"/>
      <c r="C232" s="346"/>
      <c r="D232" s="273"/>
      <c r="E232" s="273"/>
      <c r="F232" s="273"/>
      <c r="G232" s="273"/>
      <c r="H232" s="347" t="str">
        <f t="shared" si="6"/>
        <v/>
      </c>
      <c r="I232" s="274" t="str">
        <f t="shared" si="7"/>
        <v/>
      </c>
      <c r="J232" s="335"/>
      <c r="K232" s="273"/>
      <c r="L232" s="348"/>
    </row>
    <row r="233" spans="2:12">
      <c r="B233" s="345"/>
      <c r="C233" s="346"/>
      <c r="D233" s="273"/>
      <c r="E233" s="273"/>
      <c r="F233" s="273"/>
      <c r="G233" s="273"/>
      <c r="H233" s="347" t="str">
        <f t="shared" si="6"/>
        <v/>
      </c>
      <c r="I233" s="274" t="str">
        <f t="shared" si="7"/>
        <v/>
      </c>
      <c r="J233" s="335"/>
      <c r="K233" s="273"/>
      <c r="L233" s="348"/>
    </row>
    <row r="234" spans="2:12">
      <c r="B234" s="345"/>
      <c r="C234" s="346"/>
      <c r="D234" s="273"/>
      <c r="E234" s="273"/>
      <c r="F234" s="273"/>
      <c r="G234" s="273"/>
      <c r="H234" s="347" t="str">
        <f t="shared" si="6"/>
        <v/>
      </c>
      <c r="I234" s="274" t="str">
        <f t="shared" si="7"/>
        <v/>
      </c>
      <c r="J234" s="335"/>
      <c r="K234" s="273"/>
      <c r="L234" s="348"/>
    </row>
    <row r="235" spans="2:12">
      <c r="B235" s="345"/>
      <c r="C235" s="346"/>
      <c r="D235" s="273"/>
      <c r="E235" s="273"/>
      <c r="F235" s="273"/>
      <c r="G235" s="273"/>
      <c r="H235" s="347" t="str">
        <f t="shared" si="6"/>
        <v/>
      </c>
      <c r="I235" s="274" t="str">
        <f t="shared" si="7"/>
        <v/>
      </c>
      <c r="J235" s="335"/>
      <c r="K235" s="273"/>
      <c r="L235" s="348"/>
    </row>
    <row r="236" spans="2:12">
      <c r="B236" s="345"/>
      <c r="C236" s="346"/>
      <c r="D236" s="273"/>
      <c r="E236" s="273"/>
      <c r="F236" s="273"/>
      <c r="G236" s="273"/>
      <c r="H236" s="347" t="str">
        <f t="shared" si="6"/>
        <v/>
      </c>
      <c r="I236" s="274" t="str">
        <f t="shared" si="7"/>
        <v/>
      </c>
      <c r="J236" s="335"/>
      <c r="K236" s="273"/>
      <c r="L236" s="348"/>
    </row>
    <row r="237" spans="2:12">
      <c r="B237" s="345"/>
      <c r="C237" s="346"/>
      <c r="D237" s="273"/>
      <c r="E237" s="273"/>
      <c r="F237" s="273"/>
      <c r="G237" s="273"/>
      <c r="H237" s="347" t="str">
        <f t="shared" si="6"/>
        <v/>
      </c>
      <c r="I237" s="274" t="str">
        <f t="shared" si="7"/>
        <v/>
      </c>
      <c r="J237" s="335"/>
      <c r="K237" s="273"/>
      <c r="L237" s="348"/>
    </row>
    <row r="238" spans="2:12">
      <c r="B238" s="345"/>
      <c r="C238" s="346"/>
      <c r="D238" s="273"/>
      <c r="E238" s="273"/>
      <c r="F238" s="273"/>
      <c r="G238" s="273"/>
      <c r="H238" s="347" t="str">
        <f t="shared" si="6"/>
        <v/>
      </c>
      <c r="I238" s="274" t="str">
        <f t="shared" si="7"/>
        <v/>
      </c>
      <c r="J238" s="335"/>
      <c r="K238" s="273"/>
      <c r="L238" s="348"/>
    </row>
    <row r="239" spans="2:12">
      <c r="B239" s="345"/>
      <c r="C239" s="346"/>
      <c r="D239" s="273"/>
      <c r="E239" s="273"/>
      <c r="F239" s="273"/>
      <c r="G239" s="273"/>
      <c r="H239" s="347" t="str">
        <f t="shared" si="6"/>
        <v/>
      </c>
      <c r="I239" s="274" t="str">
        <f t="shared" si="7"/>
        <v/>
      </c>
      <c r="J239" s="335"/>
      <c r="K239" s="273"/>
      <c r="L239" s="348"/>
    </row>
    <row r="240" spans="2:12">
      <c r="B240" s="345"/>
      <c r="C240" s="346"/>
      <c r="D240" s="273"/>
      <c r="E240" s="273"/>
      <c r="F240" s="273"/>
      <c r="G240" s="273"/>
      <c r="H240" s="347" t="str">
        <f t="shared" si="6"/>
        <v/>
      </c>
      <c r="I240" s="274" t="str">
        <f t="shared" si="7"/>
        <v/>
      </c>
      <c r="J240" s="335"/>
      <c r="K240" s="273"/>
      <c r="L240" s="348"/>
    </row>
    <row r="241" spans="2:12">
      <c r="B241" s="345"/>
      <c r="C241" s="346"/>
      <c r="D241" s="273"/>
      <c r="E241" s="273"/>
      <c r="F241" s="273"/>
      <c r="G241" s="273"/>
      <c r="H241" s="347" t="str">
        <f t="shared" si="6"/>
        <v/>
      </c>
      <c r="I241" s="274" t="str">
        <f t="shared" si="7"/>
        <v/>
      </c>
      <c r="J241" s="335"/>
      <c r="K241" s="273"/>
      <c r="L241" s="348"/>
    </row>
    <row r="242" spans="2:12">
      <c r="B242" s="345"/>
      <c r="C242" s="346"/>
      <c r="D242" s="273"/>
      <c r="E242" s="273"/>
      <c r="F242" s="273"/>
      <c r="G242" s="273"/>
      <c r="H242" s="347" t="str">
        <f t="shared" si="6"/>
        <v/>
      </c>
      <c r="I242" s="274" t="str">
        <f t="shared" si="7"/>
        <v/>
      </c>
      <c r="J242" s="335"/>
      <c r="K242" s="273"/>
      <c r="L242" s="348"/>
    </row>
    <row r="243" spans="2:12">
      <c r="B243" s="345"/>
      <c r="C243" s="346"/>
      <c r="D243" s="273"/>
      <c r="E243" s="273"/>
      <c r="F243" s="273"/>
      <c r="G243" s="273"/>
      <c r="H243" s="347" t="str">
        <f t="shared" si="6"/>
        <v/>
      </c>
      <c r="I243" s="274" t="str">
        <f t="shared" si="7"/>
        <v/>
      </c>
      <c r="J243" s="335"/>
      <c r="K243" s="273"/>
      <c r="L243" s="348"/>
    </row>
    <row r="244" spans="2:12">
      <c r="B244" s="345"/>
      <c r="C244" s="346"/>
      <c r="D244" s="273"/>
      <c r="E244" s="273"/>
      <c r="F244" s="273"/>
      <c r="G244" s="273"/>
      <c r="H244" s="347" t="str">
        <f t="shared" si="6"/>
        <v/>
      </c>
      <c r="I244" s="274" t="str">
        <f t="shared" si="7"/>
        <v/>
      </c>
      <c r="J244" s="335"/>
      <c r="K244" s="273"/>
      <c r="L244" s="348"/>
    </row>
    <row r="245" spans="2:12">
      <c r="B245" s="345"/>
      <c r="C245" s="346"/>
      <c r="D245" s="273"/>
      <c r="E245" s="273"/>
      <c r="F245" s="273"/>
      <c r="G245" s="273"/>
      <c r="H245" s="347" t="str">
        <f t="shared" si="6"/>
        <v/>
      </c>
      <c r="I245" s="274" t="str">
        <f t="shared" si="7"/>
        <v/>
      </c>
      <c r="J245" s="335"/>
      <c r="K245" s="273"/>
      <c r="L245" s="348"/>
    </row>
    <row r="246" spans="2:12">
      <c r="B246" s="345"/>
      <c r="C246" s="346"/>
      <c r="D246" s="273"/>
      <c r="E246" s="273"/>
      <c r="F246" s="273"/>
      <c r="G246" s="273"/>
      <c r="H246" s="347" t="str">
        <f t="shared" si="6"/>
        <v/>
      </c>
      <c r="I246" s="274" t="str">
        <f t="shared" si="7"/>
        <v/>
      </c>
      <c r="J246" s="335"/>
      <c r="K246" s="273"/>
      <c r="L246" s="348"/>
    </row>
    <row r="247" spans="2:12">
      <c r="B247" s="345"/>
      <c r="C247" s="346"/>
      <c r="D247" s="273"/>
      <c r="E247" s="273"/>
      <c r="F247" s="273"/>
      <c r="G247" s="273"/>
      <c r="H247" s="347" t="str">
        <f t="shared" si="6"/>
        <v/>
      </c>
      <c r="I247" s="274" t="str">
        <f t="shared" si="7"/>
        <v/>
      </c>
      <c r="J247" s="335"/>
      <c r="K247" s="273"/>
      <c r="L247" s="348"/>
    </row>
    <row r="248" spans="2:12">
      <c r="B248" s="345"/>
      <c r="C248" s="346"/>
      <c r="D248" s="273"/>
      <c r="E248" s="273"/>
      <c r="F248" s="273"/>
      <c r="G248" s="273"/>
      <c r="H248" s="347" t="str">
        <f t="shared" si="6"/>
        <v/>
      </c>
      <c r="I248" s="274" t="str">
        <f t="shared" si="7"/>
        <v/>
      </c>
      <c r="J248" s="335"/>
      <c r="K248" s="273"/>
      <c r="L248" s="348"/>
    </row>
    <row r="249" spans="2:12">
      <c r="B249" s="345"/>
      <c r="C249" s="346"/>
      <c r="D249" s="273"/>
      <c r="E249" s="273"/>
      <c r="F249" s="273"/>
      <c r="G249" s="273"/>
      <c r="H249" s="347" t="str">
        <f t="shared" si="6"/>
        <v/>
      </c>
      <c r="I249" s="274" t="str">
        <f t="shared" si="7"/>
        <v/>
      </c>
      <c r="J249" s="335"/>
      <c r="K249" s="273"/>
      <c r="L249" s="348"/>
    </row>
    <row r="250" spans="2:12">
      <c r="B250" s="345"/>
      <c r="C250" s="346"/>
      <c r="D250" s="273"/>
      <c r="E250" s="273"/>
      <c r="F250" s="273"/>
      <c r="G250" s="273"/>
      <c r="H250" s="347" t="str">
        <f t="shared" si="6"/>
        <v/>
      </c>
      <c r="I250" s="274" t="str">
        <f t="shared" si="7"/>
        <v/>
      </c>
      <c r="J250" s="335"/>
      <c r="K250" s="273"/>
      <c r="L250" s="348"/>
    </row>
    <row r="251" spans="2:12">
      <c r="B251" s="345"/>
      <c r="C251" s="346"/>
      <c r="D251" s="273"/>
      <c r="E251" s="273"/>
      <c r="F251" s="273"/>
      <c r="G251" s="273"/>
      <c r="H251" s="347" t="str">
        <f t="shared" si="6"/>
        <v/>
      </c>
      <c r="I251" s="274" t="str">
        <f t="shared" si="7"/>
        <v/>
      </c>
      <c r="J251" s="335"/>
      <c r="K251" s="273"/>
      <c r="L251" s="348"/>
    </row>
    <row r="252" spans="2:12">
      <c r="B252" s="345"/>
      <c r="C252" s="346"/>
      <c r="D252" s="273"/>
      <c r="E252" s="273"/>
      <c r="F252" s="273"/>
      <c r="G252" s="273"/>
      <c r="H252" s="347" t="str">
        <f t="shared" si="6"/>
        <v/>
      </c>
      <c r="I252" s="274" t="str">
        <f t="shared" si="7"/>
        <v/>
      </c>
      <c r="J252" s="335"/>
      <c r="K252" s="273"/>
      <c r="L252" s="348"/>
    </row>
    <row r="253" spans="2:12">
      <c r="B253" s="345"/>
      <c r="C253" s="346"/>
      <c r="D253" s="273"/>
      <c r="E253" s="273"/>
      <c r="F253" s="273"/>
      <c r="G253" s="273"/>
      <c r="H253" s="347" t="str">
        <f t="shared" si="6"/>
        <v/>
      </c>
      <c r="I253" s="274" t="str">
        <f t="shared" si="7"/>
        <v/>
      </c>
      <c r="J253" s="335"/>
      <c r="K253" s="273"/>
      <c r="L253" s="348"/>
    </row>
    <row r="254" spans="2:12">
      <c r="B254" s="345"/>
      <c r="C254" s="346"/>
      <c r="D254" s="273"/>
      <c r="E254" s="273"/>
      <c r="F254" s="273"/>
      <c r="G254" s="273"/>
      <c r="H254" s="347" t="str">
        <f t="shared" si="6"/>
        <v/>
      </c>
      <c r="I254" s="274" t="str">
        <f t="shared" si="7"/>
        <v/>
      </c>
      <c r="J254" s="335"/>
      <c r="K254" s="273"/>
      <c r="L254" s="348"/>
    </row>
    <row r="255" spans="2:12">
      <c r="B255" s="345"/>
      <c r="C255" s="346"/>
      <c r="D255" s="273"/>
      <c r="E255" s="273"/>
      <c r="F255" s="273"/>
      <c r="G255" s="273"/>
      <c r="H255" s="347" t="str">
        <f t="shared" si="6"/>
        <v/>
      </c>
      <c r="I255" s="274" t="str">
        <f t="shared" si="7"/>
        <v/>
      </c>
      <c r="J255" s="335"/>
      <c r="K255" s="273"/>
      <c r="L255" s="348"/>
    </row>
    <row r="256" spans="2:12">
      <c r="B256" s="345"/>
      <c r="C256" s="346"/>
      <c r="D256" s="273"/>
      <c r="E256" s="273"/>
      <c r="F256" s="273"/>
      <c r="G256" s="273"/>
      <c r="H256" s="347" t="str">
        <f t="shared" si="6"/>
        <v/>
      </c>
      <c r="I256" s="274" t="str">
        <f t="shared" si="7"/>
        <v/>
      </c>
      <c r="J256" s="335"/>
      <c r="K256" s="273"/>
      <c r="L256" s="348"/>
    </row>
    <row r="257" spans="2:12">
      <c r="B257" s="345"/>
      <c r="C257" s="346"/>
      <c r="D257" s="273"/>
      <c r="E257" s="273"/>
      <c r="F257" s="273"/>
      <c r="G257" s="273"/>
      <c r="H257" s="347" t="str">
        <f t="shared" si="6"/>
        <v/>
      </c>
      <c r="I257" s="274" t="str">
        <f t="shared" si="7"/>
        <v/>
      </c>
      <c r="J257" s="335"/>
      <c r="K257" s="273"/>
      <c r="L257" s="348"/>
    </row>
    <row r="258" spans="2:12">
      <c r="B258" s="345"/>
      <c r="C258" s="346"/>
      <c r="D258" s="273"/>
      <c r="E258" s="273"/>
      <c r="F258" s="273"/>
      <c r="G258" s="273"/>
      <c r="H258" s="347" t="str">
        <f t="shared" si="6"/>
        <v/>
      </c>
      <c r="I258" s="274" t="str">
        <f t="shared" si="7"/>
        <v/>
      </c>
      <c r="J258" s="335"/>
      <c r="K258" s="273"/>
      <c r="L258" s="348"/>
    </row>
    <row r="259" spans="2:12">
      <c r="B259" s="345"/>
      <c r="C259" s="346"/>
      <c r="D259" s="273"/>
      <c r="E259" s="273"/>
      <c r="F259" s="273"/>
      <c r="G259" s="273"/>
      <c r="H259" s="347" t="str">
        <f t="shared" si="6"/>
        <v/>
      </c>
      <c r="I259" s="274" t="str">
        <f t="shared" si="7"/>
        <v/>
      </c>
      <c r="J259" s="335"/>
      <c r="K259" s="273"/>
      <c r="L259" s="348"/>
    </row>
    <row r="260" spans="2:12">
      <c r="B260" s="345"/>
      <c r="C260" s="346"/>
      <c r="D260" s="273"/>
      <c r="E260" s="273"/>
      <c r="F260" s="273"/>
      <c r="G260" s="273"/>
      <c r="H260" s="347" t="str">
        <f t="shared" si="6"/>
        <v/>
      </c>
      <c r="I260" s="274" t="str">
        <f t="shared" si="7"/>
        <v/>
      </c>
      <c r="J260" s="335"/>
      <c r="K260" s="273"/>
      <c r="L260" s="348"/>
    </row>
    <row r="261" spans="2:12">
      <c r="B261" s="345"/>
      <c r="C261" s="346"/>
      <c r="D261" s="273"/>
      <c r="E261" s="273"/>
      <c r="F261" s="273"/>
      <c r="G261" s="273"/>
      <c r="H261" s="347" t="str">
        <f t="shared" si="6"/>
        <v/>
      </c>
      <c r="I261" s="274" t="str">
        <f t="shared" si="7"/>
        <v/>
      </c>
      <c r="J261" s="335"/>
      <c r="K261" s="273"/>
      <c r="L261" s="348"/>
    </row>
    <row r="262" spans="2:12">
      <c r="B262" s="345"/>
      <c r="C262" s="346"/>
      <c r="D262" s="273"/>
      <c r="E262" s="273"/>
      <c r="F262" s="273"/>
      <c r="G262" s="273"/>
      <c r="H262" s="347" t="str">
        <f t="shared" si="6"/>
        <v/>
      </c>
      <c r="I262" s="274" t="str">
        <f t="shared" si="7"/>
        <v/>
      </c>
      <c r="J262" s="335"/>
      <c r="K262" s="273"/>
      <c r="L262" s="348"/>
    </row>
    <row r="263" spans="2:12">
      <c r="B263" s="345"/>
      <c r="C263" s="346"/>
      <c r="D263" s="273"/>
      <c r="E263" s="273"/>
      <c r="F263" s="273"/>
      <c r="G263" s="273"/>
      <c r="H263" s="347" t="str">
        <f t="shared" si="6"/>
        <v/>
      </c>
      <c r="I263" s="274" t="str">
        <f t="shared" si="7"/>
        <v/>
      </c>
      <c r="J263" s="335"/>
      <c r="K263" s="273"/>
      <c r="L263" s="348"/>
    </row>
    <row r="264" spans="2:12">
      <c r="B264" s="345"/>
      <c r="C264" s="346"/>
      <c r="D264" s="273"/>
      <c r="E264" s="273"/>
      <c r="F264" s="273"/>
      <c r="G264" s="273"/>
      <c r="H264" s="347" t="str">
        <f t="shared" si="6"/>
        <v/>
      </c>
      <c r="I264" s="274" t="str">
        <f t="shared" si="7"/>
        <v/>
      </c>
      <c r="J264" s="335"/>
      <c r="K264" s="273"/>
      <c r="L264" s="348"/>
    </row>
    <row r="265" spans="2:12">
      <c r="B265" s="345"/>
      <c r="C265" s="346"/>
      <c r="D265" s="273"/>
      <c r="E265" s="273"/>
      <c r="F265" s="273"/>
      <c r="G265" s="273"/>
      <c r="H265" s="347" t="str">
        <f t="shared" si="6"/>
        <v/>
      </c>
      <c r="I265" s="274" t="str">
        <f t="shared" si="7"/>
        <v/>
      </c>
      <c r="J265" s="335"/>
      <c r="K265" s="273"/>
      <c r="L265" s="348"/>
    </row>
    <row r="266" spans="2:12">
      <c r="B266" s="345"/>
      <c r="C266" s="346"/>
      <c r="D266" s="273"/>
      <c r="E266" s="273"/>
      <c r="F266" s="273"/>
      <c r="G266" s="273"/>
      <c r="H266" s="347" t="str">
        <f t="shared" si="6"/>
        <v/>
      </c>
      <c r="I266" s="274" t="str">
        <f t="shared" si="7"/>
        <v/>
      </c>
      <c r="J266" s="335"/>
      <c r="K266" s="273"/>
      <c r="L266" s="348"/>
    </row>
    <row r="267" spans="2:12">
      <c r="B267" s="345"/>
      <c r="C267" s="346"/>
      <c r="D267" s="273"/>
      <c r="E267" s="273"/>
      <c r="F267" s="273"/>
      <c r="G267" s="273"/>
      <c r="H267" s="347" t="str">
        <f t="shared" ref="H267:H330" si="8">IF(G267="Large","NRS",IF(G267="International","FRS",IF(G267="SME - Medium","SME",IF(G267="SME - Micro","SME",IF(G267="SME - Small","SME","")))))</f>
        <v/>
      </c>
      <c r="I267" s="274" t="str">
        <f t="shared" ref="I267:I330" si="9">IF(H267="FRS","No","")</f>
        <v/>
      </c>
      <c r="J267" s="335"/>
      <c r="K267" s="273"/>
      <c r="L267" s="348"/>
    </row>
    <row r="268" spans="2:12">
      <c r="B268" s="345"/>
      <c r="C268" s="346"/>
      <c r="D268" s="273"/>
      <c r="E268" s="273"/>
      <c r="F268" s="273"/>
      <c r="G268" s="273"/>
      <c r="H268" s="347" t="str">
        <f t="shared" si="8"/>
        <v/>
      </c>
      <c r="I268" s="274" t="str">
        <f t="shared" si="9"/>
        <v/>
      </c>
      <c r="J268" s="335"/>
      <c r="K268" s="273"/>
      <c r="L268" s="348"/>
    </row>
    <row r="269" spans="2:12">
      <c r="B269" s="345"/>
      <c r="C269" s="346"/>
      <c r="D269" s="273"/>
      <c r="E269" s="273"/>
      <c r="F269" s="273"/>
      <c r="G269" s="273"/>
      <c r="H269" s="347" t="str">
        <f t="shared" si="8"/>
        <v/>
      </c>
      <c r="I269" s="274" t="str">
        <f t="shared" si="9"/>
        <v/>
      </c>
      <c r="J269" s="335"/>
      <c r="K269" s="273"/>
      <c r="L269" s="348"/>
    </row>
    <row r="270" spans="2:12">
      <c r="B270" s="345"/>
      <c r="C270" s="346"/>
      <c r="D270" s="273"/>
      <c r="E270" s="273"/>
      <c r="F270" s="273"/>
      <c r="G270" s="273"/>
      <c r="H270" s="347" t="str">
        <f t="shared" si="8"/>
        <v/>
      </c>
      <c r="I270" s="274" t="str">
        <f t="shared" si="9"/>
        <v/>
      </c>
      <c r="J270" s="335"/>
      <c r="K270" s="273"/>
      <c r="L270" s="348"/>
    </row>
    <row r="271" spans="2:12">
      <c r="B271" s="345"/>
      <c r="C271" s="346"/>
      <c r="D271" s="273"/>
      <c r="E271" s="273"/>
      <c r="F271" s="273"/>
      <c r="G271" s="273"/>
      <c r="H271" s="347" t="str">
        <f t="shared" si="8"/>
        <v/>
      </c>
      <c r="I271" s="274" t="str">
        <f t="shared" si="9"/>
        <v/>
      </c>
      <c r="J271" s="335"/>
      <c r="K271" s="273"/>
      <c r="L271" s="348"/>
    </row>
    <row r="272" spans="2:12">
      <c r="B272" s="345"/>
      <c r="C272" s="346"/>
      <c r="D272" s="273"/>
      <c r="E272" s="273"/>
      <c r="F272" s="273"/>
      <c r="G272" s="273"/>
      <c r="H272" s="347" t="str">
        <f t="shared" si="8"/>
        <v/>
      </c>
      <c r="I272" s="274" t="str">
        <f t="shared" si="9"/>
        <v/>
      </c>
      <c r="J272" s="335"/>
      <c r="K272" s="273"/>
      <c r="L272" s="348"/>
    </row>
    <row r="273" spans="2:12">
      <c r="B273" s="345"/>
      <c r="C273" s="346"/>
      <c r="D273" s="273"/>
      <c r="E273" s="273"/>
      <c r="F273" s="273"/>
      <c r="G273" s="273"/>
      <c r="H273" s="347" t="str">
        <f t="shared" si="8"/>
        <v/>
      </c>
      <c r="I273" s="274" t="str">
        <f t="shared" si="9"/>
        <v/>
      </c>
      <c r="J273" s="335"/>
      <c r="K273" s="273"/>
      <c r="L273" s="348"/>
    </row>
    <row r="274" spans="2:12">
      <c r="B274" s="345"/>
      <c r="C274" s="346"/>
      <c r="D274" s="273"/>
      <c r="E274" s="273"/>
      <c r="F274" s="273"/>
      <c r="G274" s="273"/>
      <c r="H274" s="347" t="str">
        <f t="shared" si="8"/>
        <v/>
      </c>
      <c r="I274" s="274" t="str">
        <f t="shared" si="9"/>
        <v/>
      </c>
      <c r="J274" s="335"/>
      <c r="K274" s="273"/>
      <c r="L274" s="348"/>
    </row>
    <row r="275" spans="2:12">
      <c r="B275" s="345"/>
      <c r="C275" s="346"/>
      <c r="D275" s="273"/>
      <c r="E275" s="273"/>
      <c r="F275" s="273"/>
      <c r="G275" s="273"/>
      <c r="H275" s="347" t="str">
        <f t="shared" si="8"/>
        <v/>
      </c>
      <c r="I275" s="274" t="str">
        <f t="shared" si="9"/>
        <v/>
      </c>
      <c r="J275" s="335"/>
      <c r="K275" s="273"/>
      <c r="L275" s="348"/>
    </row>
    <row r="276" spans="2:12">
      <c r="B276" s="345"/>
      <c r="C276" s="346"/>
      <c r="D276" s="273"/>
      <c r="E276" s="273"/>
      <c r="F276" s="273"/>
      <c r="G276" s="273"/>
      <c r="H276" s="347" t="str">
        <f t="shared" si="8"/>
        <v/>
      </c>
      <c r="I276" s="274" t="str">
        <f t="shared" si="9"/>
        <v/>
      </c>
      <c r="J276" s="335"/>
      <c r="K276" s="273"/>
      <c r="L276" s="348"/>
    </row>
    <row r="277" spans="2:12">
      <c r="B277" s="345"/>
      <c r="C277" s="346"/>
      <c r="D277" s="273"/>
      <c r="E277" s="273"/>
      <c r="F277" s="273"/>
      <c r="G277" s="273"/>
      <c r="H277" s="347" t="str">
        <f t="shared" si="8"/>
        <v/>
      </c>
      <c r="I277" s="274" t="str">
        <f t="shared" si="9"/>
        <v/>
      </c>
      <c r="J277" s="335"/>
      <c r="K277" s="273"/>
      <c r="L277" s="348"/>
    </row>
    <row r="278" spans="2:12">
      <c r="B278" s="345"/>
      <c r="C278" s="346"/>
      <c r="D278" s="273"/>
      <c r="E278" s="273"/>
      <c r="F278" s="273"/>
      <c r="G278" s="273"/>
      <c r="H278" s="347" t="str">
        <f t="shared" si="8"/>
        <v/>
      </c>
      <c r="I278" s="274" t="str">
        <f t="shared" si="9"/>
        <v/>
      </c>
      <c r="J278" s="335"/>
      <c r="K278" s="273"/>
      <c r="L278" s="348"/>
    </row>
    <row r="279" spans="2:12">
      <c r="B279" s="345"/>
      <c r="C279" s="346"/>
      <c r="D279" s="273"/>
      <c r="E279" s="273"/>
      <c r="F279" s="273"/>
      <c r="G279" s="273"/>
      <c r="H279" s="347" t="str">
        <f t="shared" si="8"/>
        <v/>
      </c>
      <c r="I279" s="274" t="str">
        <f t="shared" si="9"/>
        <v/>
      </c>
      <c r="J279" s="335"/>
      <c r="K279" s="273"/>
      <c r="L279" s="348"/>
    </row>
    <row r="280" spans="2:12">
      <c r="B280" s="345"/>
      <c r="C280" s="346"/>
      <c r="D280" s="273"/>
      <c r="E280" s="273"/>
      <c r="F280" s="273"/>
      <c r="G280" s="273"/>
      <c r="H280" s="347" t="str">
        <f t="shared" si="8"/>
        <v/>
      </c>
      <c r="I280" s="274" t="str">
        <f t="shared" si="9"/>
        <v/>
      </c>
      <c r="J280" s="335"/>
      <c r="K280" s="273"/>
      <c r="L280" s="348"/>
    </row>
    <row r="281" spans="2:12">
      <c r="B281" s="345"/>
      <c r="C281" s="346"/>
      <c r="D281" s="273"/>
      <c r="E281" s="273"/>
      <c r="F281" s="273"/>
      <c r="G281" s="273"/>
      <c r="H281" s="347" t="str">
        <f t="shared" si="8"/>
        <v/>
      </c>
      <c r="I281" s="274" t="str">
        <f t="shared" si="9"/>
        <v/>
      </c>
      <c r="J281" s="335"/>
      <c r="K281" s="273"/>
      <c r="L281" s="348"/>
    </row>
    <row r="282" spans="2:12">
      <c r="B282" s="345"/>
      <c r="C282" s="346"/>
      <c r="D282" s="273"/>
      <c r="E282" s="273"/>
      <c r="F282" s="273"/>
      <c r="G282" s="273"/>
      <c r="H282" s="347" t="str">
        <f t="shared" si="8"/>
        <v/>
      </c>
      <c r="I282" s="274" t="str">
        <f t="shared" si="9"/>
        <v/>
      </c>
      <c r="J282" s="335"/>
      <c r="K282" s="273"/>
      <c r="L282" s="348"/>
    </row>
    <row r="283" spans="2:12">
      <c r="B283" s="345"/>
      <c r="C283" s="346"/>
      <c r="D283" s="273"/>
      <c r="E283" s="273"/>
      <c r="F283" s="273"/>
      <c r="G283" s="273"/>
      <c r="H283" s="347" t="str">
        <f t="shared" si="8"/>
        <v/>
      </c>
      <c r="I283" s="274" t="str">
        <f t="shared" si="9"/>
        <v/>
      </c>
      <c r="J283" s="335"/>
      <c r="K283" s="273"/>
      <c r="L283" s="348"/>
    </row>
    <row r="284" spans="2:12">
      <c r="B284" s="345"/>
      <c r="C284" s="346"/>
      <c r="D284" s="273"/>
      <c r="E284" s="273"/>
      <c r="F284" s="273"/>
      <c r="G284" s="273"/>
      <c r="H284" s="347" t="str">
        <f t="shared" si="8"/>
        <v/>
      </c>
      <c r="I284" s="274" t="str">
        <f t="shared" si="9"/>
        <v/>
      </c>
      <c r="J284" s="335"/>
      <c r="K284" s="273"/>
      <c r="L284" s="348"/>
    </row>
    <row r="285" spans="2:12">
      <c r="B285" s="345"/>
      <c r="C285" s="346"/>
      <c r="D285" s="273"/>
      <c r="E285" s="273"/>
      <c r="F285" s="273"/>
      <c r="G285" s="273"/>
      <c r="H285" s="347" t="str">
        <f t="shared" si="8"/>
        <v/>
      </c>
      <c r="I285" s="274" t="str">
        <f t="shared" si="9"/>
        <v/>
      </c>
      <c r="J285" s="335"/>
      <c r="K285" s="273"/>
      <c r="L285" s="348"/>
    </row>
    <row r="286" spans="2:12">
      <c r="B286" s="345"/>
      <c r="C286" s="346"/>
      <c r="D286" s="273"/>
      <c r="E286" s="273"/>
      <c r="F286" s="273"/>
      <c r="G286" s="273"/>
      <c r="H286" s="347" t="str">
        <f t="shared" si="8"/>
        <v/>
      </c>
      <c r="I286" s="274" t="str">
        <f t="shared" si="9"/>
        <v/>
      </c>
      <c r="J286" s="335"/>
      <c r="K286" s="273"/>
      <c r="L286" s="348"/>
    </row>
    <row r="287" spans="2:12">
      <c r="B287" s="345"/>
      <c r="C287" s="346"/>
      <c r="D287" s="273"/>
      <c r="E287" s="273"/>
      <c r="F287" s="273"/>
      <c r="G287" s="273"/>
      <c r="H287" s="347" t="str">
        <f t="shared" si="8"/>
        <v/>
      </c>
      <c r="I287" s="274" t="str">
        <f t="shared" si="9"/>
        <v/>
      </c>
      <c r="J287" s="335"/>
      <c r="K287" s="273"/>
      <c r="L287" s="348"/>
    </row>
    <row r="288" spans="2:12">
      <c r="B288" s="345"/>
      <c r="C288" s="346"/>
      <c r="D288" s="273"/>
      <c r="E288" s="273"/>
      <c r="F288" s="273"/>
      <c r="G288" s="273"/>
      <c r="H288" s="347" t="str">
        <f t="shared" si="8"/>
        <v/>
      </c>
      <c r="I288" s="274" t="str">
        <f t="shared" si="9"/>
        <v/>
      </c>
      <c r="J288" s="335"/>
      <c r="K288" s="273"/>
      <c r="L288" s="348"/>
    </row>
    <row r="289" spans="2:12">
      <c r="B289" s="345"/>
      <c r="C289" s="346"/>
      <c r="D289" s="273"/>
      <c r="E289" s="273"/>
      <c r="F289" s="273"/>
      <c r="G289" s="273"/>
      <c r="H289" s="347" t="str">
        <f t="shared" si="8"/>
        <v/>
      </c>
      <c r="I289" s="274" t="str">
        <f t="shared" si="9"/>
        <v/>
      </c>
      <c r="J289" s="335"/>
      <c r="K289" s="273"/>
      <c r="L289" s="348"/>
    </row>
    <row r="290" spans="2:12">
      <c r="B290" s="345"/>
      <c r="C290" s="346"/>
      <c r="D290" s="273"/>
      <c r="E290" s="273"/>
      <c r="F290" s="273"/>
      <c r="G290" s="273"/>
      <c r="H290" s="347" t="str">
        <f t="shared" si="8"/>
        <v/>
      </c>
      <c r="I290" s="274" t="str">
        <f t="shared" si="9"/>
        <v/>
      </c>
      <c r="J290" s="335"/>
      <c r="K290" s="273"/>
      <c r="L290" s="348"/>
    </row>
    <row r="291" spans="2:12">
      <c r="B291" s="345"/>
      <c r="C291" s="346"/>
      <c r="D291" s="273"/>
      <c r="E291" s="273"/>
      <c r="F291" s="273"/>
      <c r="G291" s="273"/>
      <c r="H291" s="347" t="str">
        <f t="shared" si="8"/>
        <v/>
      </c>
      <c r="I291" s="274" t="str">
        <f t="shared" si="9"/>
        <v/>
      </c>
      <c r="J291" s="335"/>
      <c r="K291" s="273"/>
      <c r="L291" s="348"/>
    </row>
    <row r="292" spans="2:12">
      <c r="B292" s="345"/>
      <c r="C292" s="346"/>
      <c r="D292" s="273"/>
      <c r="E292" s="273"/>
      <c r="F292" s="273"/>
      <c r="G292" s="273"/>
      <c r="H292" s="347" t="str">
        <f t="shared" si="8"/>
        <v/>
      </c>
      <c r="I292" s="274" t="str">
        <f t="shared" si="9"/>
        <v/>
      </c>
      <c r="J292" s="335"/>
      <c r="K292" s="273"/>
      <c r="L292" s="348"/>
    </row>
    <row r="293" spans="2:12">
      <c r="B293" s="345"/>
      <c r="C293" s="346"/>
      <c r="D293" s="273"/>
      <c r="E293" s="273"/>
      <c r="F293" s="273"/>
      <c r="G293" s="273"/>
      <c r="H293" s="347" t="str">
        <f t="shared" si="8"/>
        <v/>
      </c>
      <c r="I293" s="274" t="str">
        <f t="shared" si="9"/>
        <v/>
      </c>
      <c r="J293" s="335"/>
      <c r="K293" s="273"/>
      <c r="L293" s="348"/>
    </row>
    <row r="294" spans="2:12">
      <c r="B294" s="345"/>
      <c r="C294" s="346"/>
      <c r="D294" s="273"/>
      <c r="E294" s="273"/>
      <c r="F294" s="273"/>
      <c r="G294" s="273"/>
      <c r="H294" s="347" t="str">
        <f t="shared" si="8"/>
        <v/>
      </c>
      <c r="I294" s="274" t="str">
        <f t="shared" si="9"/>
        <v/>
      </c>
      <c r="J294" s="335"/>
      <c r="K294" s="273"/>
      <c r="L294" s="348"/>
    </row>
    <row r="295" spans="2:12">
      <c r="B295" s="345"/>
      <c r="C295" s="346"/>
      <c r="D295" s="273"/>
      <c r="E295" s="273"/>
      <c r="F295" s="273"/>
      <c r="G295" s="273"/>
      <c r="H295" s="347" t="str">
        <f t="shared" si="8"/>
        <v/>
      </c>
      <c r="I295" s="274" t="str">
        <f t="shared" si="9"/>
        <v/>
      </c>
      <c r="J295" s="335"/>
      <c r="K295" s="273"/>
      <c r="L295" s="348"/>
    </row>
    <row r="296" spans="2:12">
      <c r="B296" s="345"/>
      <c r="C296" s="346"/>
      <c r="D296" s="273"/>
      <c r="E296" s="273"/>
      <c r="F296" s="273"/>
      <c r="G296" s="273"/>
      <c r="H296" s="347" t="str">
        <f t="shared" si="8"/>
        <v/>
      </c>
      <c r="I296" s="274" t="str">
        <f t="shared" si="9"/>
        <v/>
      </c>
      <c r="J296" s="335"/>
      <c r="K296" s="273"/>
      <c r="L296" s="348"/>
    </row>
    <row r="297" spans="2:12">
      <c r="B297" s="345"/>
      <c r="C297" s="346"/>
      <c r="D297" s="273"/>
      <c r="E297" s="273"/>
      <c r="F297" s="273"/>
      <c r="G297" s="273"/>
      <c r="H297" s="347" t="str">
        <f t="shared" si="8"/>
        <v/>
      </c>
      <c r="I297" s="274" t="str">
        <f t="shared" si="9"/>
        <v/>
      </c>
      <c r="J297" s="335"/>
      <c r="K297" s="273"/>
      <c r="L297" s="348"/>
    </row>
    <row r="298" spans="2:12">
      <c r="B298" s="345"/>
      <c r="C298" s="346"/>
      <c r="D298" s="273"/>
      <c r="E298" s="273"/>
      <c r="F298" s="273"/>
      <c r="G298" s="273"/>
      <c r="H298" s="347" t="str">
        <f t="shared" si="8"/>
        <v/>
      </c>
      <c r="I298" s="274" t="str">
        <f t="shared" si="9"/>
        <v/>
      </c>
      <c r="J298" s="335"/>
      <c r="K298" s="273"/>
      <c r="L298" s="348"/>
    </row>
    <row r="299" spans="2:12">
      <c r="B299" s="345"/>
      <c r="C299" s="346"/>
      <c r="D299" s="273"/>
      <c r="E299" s="273"/>
      <c r="F299" s="273"/>
      <c r="G299" s="273"/>
      <c r="H299" s="347" t="str">
        <f t="shared" si="8"/>
        <v/>
      </c>
      <c r="I299" s="274" t="str">
        <f t="shared" si="9"/>
        <v/>
      </c>
      <c r="J299" s="335"/>
      <c r="K299" s="273"/>
      <c r="L299" s="348"/>
    </row>
    <row r="300" spans="2:12">
      <c r="B300" s="345"/>
      <c r="C300" s="346"/>
      <c r="D300" s="273"/>
      <c r="E300" s="273"/>
      <c r="F300" s="273"/>
      <c r="G300" s="273"/>
      <c r="H300" s="347" t="str">
        <f t="shared" si="8"/>
        <v/>
      </c>
      <c r="I300" s="274" t="str">
        <f t="shared" si="9"/>
        <v/>
      </c>
      <c r="J300" s="335"/>
      <c r="K300" s="273"/>
      <c r="L300" s="348"/>
    </row>
    <row r="301" spans="2:12">
      <c r="B301" s="345"/>
      <c r="C301" s="346"/>
      <c r="D301" s="273"/>
      <c r="E301" s="273"/>
      <c r="F301" s="273"/>
      <c r="G301" s="273"/>
      <c r="H301" s="347" t="str">
        <f t="shared" si="8"/>
        <v/>
      </c>
      <c r="I301" s="274" t="str">
        <f t="shared" si="9"/>
        <v/>
      </c>
      <c r="J301" s="335"/>
      <c r="K301" s="273"/>
      <c r="L301" s="348"/>
    </row>
    <row r="302" spans="2:12">
      <c r="B302" s="345"/>
      <c r="C302" s="346"/>
      <c r="D302" s="273"/>
      <c r="E302" s="273"/>
      <c r="F302" s="273"/>
      <c r="G302" s="273"/>
      <c r="H302" s="347" t="str">
        <f t="shared" si="8"/>
        <v/>
      </c>
      <c r="I302" s="274" t="str">
        <f t="shared" si="9"/>
        <v/>
      </c>
      <c r="J302" s="335"/>
      <c r="K302" s="273"/>
      <c r="L302" s="348"/>
    </row>
    <row r="303" spans="2:12">
      <c r="B303" s="345"/>
      <c r="C303" s="346"/>
      <c r="D303" s="273"/>
      <c r="E303" s="273"/>
      <c r="F303" s="273"/>
      <c r="G303" s="273"/>
      <c r="H303" s="347" t="str">
        <f t="shared" si="8"/>
        <v/>
      </c>
      <c r="I303" s="274" t="str">
        <f t="shared" si="9"/>
        <v/>
      </c>
      <c r="J303" s="335"/>
      <c r="K303" s="273"/>
      <c r="L303" s="348"/>
    </row>
    <row r="304" spans="2:12">
      <c r="B304" s="345"/>
      <c r="C304" s="346"/>
      <c r="D304" s="273"/>
      <c r="E304" s="273"/>
      <c r="F304" s="273"/>
      <c r="G304" s="273"/>
      <c r="H304" s="347" t="str">
        <f t="shared" si="8"/>
        <v/>
      </c>
      <c r="I304" s="274" t="str">
        <f t="shared" si="9"/>
        <v/>
      </c>
      <c r="J304" s="335"/>
      <c r="K304" s="273"/>
      <c r="L304" s="348"/>
    </row>
    <row r="305" spans="2:12">
      <c r="B305" s="345"/>
      <c r="C305" s="346"/>
      <c r="D305" s="273"/>
      <c r="E305" s="273"/>
      <c r="F305" s="273"/>
      <c r="G305" s="273"/>
      <c r="H305" s="347" t="str">
        <f t="shared" si="8"/>
        <v/>
      </c>
      <c r="I305" s="274" t="str">
        <f t="shared" si="9"/>
        <v/>
      </c>
      <c r="J305" s="335"/>
      <c r="K305" s="273"/>
      <c r="L305" s="348"/>
    </row>
    <row r="306" spans="2:12">
      <c r="B306" s="345"/>
      <c r="C306" s="346"/>
      <c r="D306" s="273"/>
      <c r="E306" s="273"/>
      <c r="F306" s="273"/>
      <c r="G306" s="273"/>
      <c r="H306" s="347" t="str">
        <f t="shared" si="8"/>
        <v/>
      </c>
      <c r="I306" s="274" t="str">
        <f t="shared" si="9"/>
        <v/>
      </c>
      <c r="J306" s="335"/>
      <c r="K306" s="273"/>
      <c r="L306" s="348"/>
    </row>
    <row r="307" spans="2:12">
      <c r="B307" s="345"/>
      <c r="C307" s="346"/>
      <c r="D307" s="273"/>
      <c r="E307" s="273"/>
      <c r="F307" s="273"/>
      <c r="G307" s="273"/>
      <c r="H307" s="347" t="str">
        <f t="shared" si="8"/>
        <v/>
      </c>
      <c r="I307" s="274" t="str">
        <f t="shared" si="9"/>
        <v/>
      </c>
      <c r="J307" s="335"/>
      <c r="K307" s="273"/>
      <c r="L307" s="348"/>
    </row>
    <row r="308" spans="2:12">
      <c r="B308" s="345"/>
      <c r="C308" s="346"/>
      <c r="D308" s="273"/>
      <c r="E308" s="273"/>
      <c r="F308" s="273"/>
      <c r="G308" s="273"/>
      <c r="H308" s="347" t="str">
        <f t="shared" si="8"/>
        <v/>
      </c>
      <c r="I308" s="274" t="str">
        <f t="shared" si="9"/>
        <v/>
      </c>
      <c r="J308" s="335"/>
      <c r="K308" s="273"/>
      <c r="L308" s="348"/>
    </row>
    <row r="309" spans="2:12">
      <c r="B309" s="345"/>
      <c r="C309" s="346"/>
      <c r="D309" s="273"/>
      <c r="E309" s="273"/>
      <c r="F309" s="273"/>
      <c r="G309" s="273"/>
      <c r="H309" s="347" t="str">
        <f t="shared" si="8"/>
        <v/>
      </c>
      <c r="I309" s="274" t="str">
        <f t="shared" si="9"/>
        <v/>
      </c>
      <c r="J309" s="335"/>
      <c r="K309" s="273"/>
      <c r="L309" s="348"/>
    </row>
    <row r="310" spans="2:12">
      <c r="B310" s="345"/>
      <c r="C310" s="346"/>
      <c r="D310" s="273"/>
      <c r="E310" s="273"/>
      <c r="F310" s="273"/>
      <c r="G310" s="273"/>
      <c r="H310" s="347" t="str">
        <f t="shared" si="8"/>
        <v/>
      </c>
      <c r="I310" s="274" t="str">
        <f t="shared" si="9"/>
        <v/>
      </c>
      <c r="J310" s="335"/>
      <c r="K310" s="273"/>
      <c r="L310" s="348"/>
    </row>
    <row r="311" spans="2:12">
      <c r="B311" s="345"/>
      <c r="C311" s="346"/>
      <c r="D311" s="273"/>
      <c r="E311" s="273"/>
      <c r="F311" s="273"/>
      <c r="G311" s="273"/>
      <c r="H311" s="347" t="str">
        <f t="shared" si="8"/>
        <v/>
      </c>
      <c r="I311" s="274" t="str">
        <f t="shared" si="9"/>
        <v/>
      </c>
      <c r="J311" s="335"/>
      <c r="K311" s="273"/>
      <c r="L311" s="348"/>
    </row>
    <row r="312" spans="2:12">
      <c r="B312" s="345"/>
      <c r="C312" s="346"/>
      <c r="D312" s="273"/>
      <c r="E312" s="273"/>
      <c r="F312" s="273"/>
      <c r="G312" s="273"/>
      <c r="H312" s="347" t="str">
        <f t="shared" si="8"/>
        <v/>
      </c>
      <c r="I312" s="274" t="str">
        <f t="shared" si="9"/>
        <v/>
      </c>
      <c r="J312" s="335"/>
      <c r="K312" s="273"/>
      <c r="L312" s="348"/>
    </row>
    <row r="313" spans="2:12">
      <c r="B313" s="345"/>
      <c r="C313" s="346"/>
      <c r="D313" s="273"/>
      <c r="E313" s="273"/>
      <c r="F313" s="273"/>
      <c r="G313" s="273"/>
      <c r="H313" s="347" t="str">
        <f t="shared" si="8"/>
        <v/>
      </c>
      <c r="I313" s="274" t="str">
        <f t="shared" si="9"/>
        <v/>
      </c>
      <c r="J313" s="335"/>
      <c r="K313" s="273"/>
      <c r="L313" s="348"/>
    </row>
    <row r="314" spans="2:12">
      <c r="B314" s="345"/>
      <c r="C314" s="346"/>
      <c r="D314" s="273"/>
      <c r="E314" s="273"/>
      <c r="F314" s="273"/>
      <c r="G314" s="273"/>
      <c r="H314" s="347" t="str">
        <f t="shared" si="8"/>
        <v/>
      </c>
      <c r="I314" s="274" t="str">
        <f t="shared" si="9"/>
        <v/>
      </c>
      <c r="J314" s="335"/>
      <c r="K314" s="273"/>
      <c r="L314" s="348"/>
    </row>
    <row r="315" spans="2:12">
      <c r="B315" s="345"/>
      <c r="C315" s="346"/>
      <c r="D315" s="273"/>
      <c r="E315" s="273"/>
      <c r="F315" s="273"/>
      <c r="G315" s="273"/>
      <c r="H315" s="347" t="str">
        <f t="shared" si="8"/>
        <v/>
      </c>
      <c r="I315" s="274" t="str">
        <f t="shared" si="9"/>
        <v/>
      </c>
      <c r="J315" s="335"/>
      <c r="K315" s="273"/>
      <c r="L315" s="348"/>
    </row>
    <row r="316" spans="2:12">
      <c r="B316" s="345"/>
      <c r="C316" s="346"/>
      <c r="D316" s="273"/>
      <c r="E316" s="273"/>
      <c r="F316" s="273"/>
      <c r="G316" s="273"/>
      <c r="H316" s="347" t="str">
        <f t="shared" si="8"/>
        <v/>
      </c>
      <c r="I316" s="274" t="str">
        <f t="shared" si="9"/>
        <v/>
      </c>
      <c r="J316" s="335"/>
      <c r="K316" s="273"/>
      <c r="L316" s="348"/>
    </row>
    <row r="317" spans="2:12">
      <c r="B317" s="345"/>
      <c r="C317" s="346"/>
      <c r="D317" s="273"/>
      <c r="E317" s="273"/>
      <c r="F317" s="273"/>
      <c r="G317" s="273"/>
      <c r="H317" s="347" t="str">
        <f t="shared" si="8"/>
        <v/>
      </c>
      <c r="I317" s="274" t="str">
        <f t="shared" si="9"/>
        <v/>
      </c>
      <c r="J317" s="335"/>
      <c r="K317" s="273"/>
      <c r="L317" s="348"/>
    </row>
    <row r="318" spans="2:12">
      <c r="B318" s="345"/>
      <c r="C318" s="346"/>
      <c r="D318" s="273"/>
      <c r="E318" s="273"/>
      <c r="F318" s="273"/>
      <c r="G318" s="273"/>
      <c r="H318" s="347" t="str">
        <f t="shared" si="8"/>
        <v/>
      </c>
      <c r="I318" s="274" t="str">
        <f t="shared" si="9"/>
        <v/>
      </c>
      <c r="J318" s="335"/>
      <c r="K318" s="273"/>
      <c r="L318" s="348"/>
    </row>
    <row r="319" spans="2:12">
      <c r="B319" s="345"/>
      <c r="C319" s="346"/>
      <c r="D319" s="273"/>
      <c r="E319" s="273"/>
      <c r="F319" s="273"/>
      <c r="G319" s="273"/>
      <c r="H319" s="347" t="str">
        <f t="shared" si="8"/>
        <v/>
      </c>
      <c r="I319" s="274" t="str">
        <f t="shared" si="9"/>
        <v/>
      </c>
      <c r="J319" s="335"/>
      <c r="K319" s="273"/>
      <c r="L319" s="348"/>
    </row>
    <row r="320" spans="2:12">
      <c r="B320" s="345"/>
      <c r="C320" s="346"/>
      <c r="D320" s="273"/>
      <c r="E320" s="273"/>
      <c r="F320" s="273"/>
      <c r="G320" s="273"/>
      <c r="H320" s="347" t="str">
        <f t="shared" si="8"/>
        <v/>
      </c>
      <c r="I320" s="274" t="str">
        <f t="shared" si="9"/>
        <v/>
      </c>
      <c r="J320" s="335"/>
      <c r="K320" s="273"/>
      <c r="L320" s="348"/>
    </row>
    <row r="321" spans="2:12">
      <c r="B321" s="345"/>
      <c r="C321" s="346"/>
      <c r="D321" s="273"/>
      <c r="E321" s="273"/>
      <c r="F321" s="273"/>
      <c r="G321" s="273"/>
      <c r="H321" s="347" t="str">
        <f t="shared" si="8"/>
        <v/>
      </c>
      <c r="I321" s="274" t="str">
        <f t="shared" si="9"/>
        <v/>
      </c>
      <c r="J321" s="335"/>
      <c r="K321" s="273"/>
      <c r="L321" s="348"/>
    </row>
    <row r="322" spans="2:12">
      <c r="B322" s="345"/>
      <c r="C322" s="346"/>
      <c r="D322" s="273"/>
      <c r="E322" s="273"/>
      <c r="F322" s="273"/>
      <c r="G322" s="273"/>
      <c r="H322" s="347" t="str">
        <f t="shared" si="8"/>
        <v/>
      </c>
      <c r="I322" s="274" t="str">
        <f t="shared" si="9"/>
        <v/>
      </c>
      <c r="J322" s="335"/>
      <c r="K322" s="273"/>
      <c r="L322" s="348"/>
    </row>
    <row r="323" spans="2:12">
      <c r="B323" s="345"/>
      <c r="C323" s="346"/>
      <c r="D323" s="273"/>
      <c r="E323" s="273"/>
      <c r="F323" s="273"/>
      <c r="G323" s="273"/>
      <c r="H323" s="347" t="str">
        <f t="shared" si="8"/>
        <v/>
      </c>
      <c r="I323" s="274" t="str">
        <f t="shared" si="9"/>
        <v/>
      </c>
      <c r="J323" s="335"/>
      <c r="K323" s="273"/>
      <c r="L323" s="348"/>
    </row>
    <row r="324" spans="2:12">
      <c r="B324" s="345"/>
      <c r="C324" s="346"/>
      <c r="D324" s="273"/>
      <c r="E324" s="273"/>
      <c r="F324" s="273"/>
      <c r="G324" s="273"/>
      <c r="H324" s="347" t="str">
        <f t="shared" si="8"/>
        <v/>
      </c>
      <c r="I324" s="274" t="str">
        <f t="shared" si="9"/>
        <v/>
      </c>
      <c r="J324" s="335"/>
      <c r="K324" s="273"/>
      <c r="L324" s="348"/>
    </row>
    <row r="325" spans="2:12">
      <c r="B325" s="345"/>
      <c r="C325" s="346"/>
      <c r="D325" s="273"/>
      <c r="E325" s="273"/>
      <c r="F325" s="273"/>
      <c r="G325" s="273"/>
      <c r="H325" s="347" t="str">
        <f t="shared" si="8"/>
        <v/>
      </c>
      <c r="I325" s="274" t="str">
        <f t="shared" si="9"/>
        <v/>
      </c>
      <c r="J325" s="335"/>
      <c r="K325" s="273"/>
      <c r="L325" s="348"/>
    </row>
    <row r="326" spans="2:12">
      <c r="B326" s="345"/>
      <c r="C326" s="346"/>
      <c r="D326" s="273"/>
      <c r="E326" s="273"/>
      <c r="F326" s="273"/>
      <c r="G326" s="273"/>
      <c r="H326" s="347" t="str">
        <f t="shared" si="8"/>
        <v/>
      </c>
      <c r="I326" s="274" t="str">
        <f t="shared" si="9"/>
        <v/>
      </c>
      <c r="J326" s="335"/>
      <c r="K326" s="273"/>
      <c r="L326" s="348"/>
    </row>
    <row r="327" spans="2:12">
      <c r="B327" s="345"/>
      <c r="C327" s="346"/>
      <c r="D327" s="273"/>
      <c r="E327" s="273"/>
      <c r="F327" s="273"/>
      <c r="G327" s="273"/>
      <c r="H327" s="347" t="str">
        <f t="shared" si="8"/>
        <v/>
      </c>
      <c r="I327" s="274" t="str">
        <f t="shared" si="9"/>
        <v/>
      </c>
      <c r="J327" s="335"/>
      <c r="K327" s="273"/>
      <c r="L327" s="348"/>
    </row>
    <row r="328" spans="2:12">
      <c r="B328" s="345"/>
      <c r="C328" s="346"/>
      <c r="D328" s="273"/>
      <c r="E328" s="273"/>
      <c r="F328" s="273"/>
      <c r="G328" s="273"/>
      <c r="H328" s="347" t="str">
        <f t="shared" si="8"/>
        <v/>
      </c>
      <c r="I328" s="274" t="str">
        <f t="shared" si="9"/>
        <v/>
      </c>
      <c r="J328" s="335"/>
      <c r="K328" s="273"/>
      <c r="L328" s="348"/>
    </row>
    <row r="329" spans="2:12">
      <c r="B329" s="345"/>
      <c r="C329" s="346"/>
      <c r="D329" s="273"/>
      <c r="E329" s="273"/>
      <c r="F329" s="273"/>
      <c r="G329" s="273"/>
      <c r="H329" s="347" t="str">
        <f t="shared" si="8"/>
        <v/>
      </c>
      <c r="I329" s="274" t="str">
        <f t="shared" si="9"/>
        <v/>
      </c>
      <c r="J329" s="335"/>
      <c r="K329" s="273"/>
      <c r="L329" s="348"/>
    </row>
    <row r="330" spans="2:12">
      <c r="B330" s="345"/>
      <c r="C330" s="346"/>
      <c r="D330" s="273"/>
      <c r="E330" s="273"/>
      <c r="F330" s="273"/>
      <c r="G330" s="273"/>
      <c r="H330" s="347" t="str">
        <f t="shared" si="8"/>
        <v/>
      </c>
      <c r="I330" s="274" t="str">
        <f t="shared" si="9"/>
        <v/>
      </c>
      <c r="J330" s="335"/>
      <c r="K330" s="273"/>
      <c r="L330" s="348"/>
    </row>
    <row r="331" spans="2:12">
      <c r="B331" s="345"/>
      <c r="C331" s="346"/>
      <c r="D331" s="273"/>
      <c r="E331" s="273"/>
      <c r="F331" s="273"/>
      <c r="G331" s="273"/>
      <c r="H331" s="347" t="str">
        <f t="shared" ref="H331:H394" si="10">IF(G331="Large","NRS",IF(G331="International","FRS",IF(G331="SME - Medium","SME",IF(G331="SME - Micro","SME",IF(G331="SME - Small","SME","")))))</f>
        <v/>
      </c>
      <c r="I331" s="274" t="str">
        <f t="shared" ref="I331:I394" si="11">IF(H331="FRS","No","")</f>
        <v/>
      </c>
      <c r="J331" s="335"/>
      <c r="K331" s="273"/>
      <c r="L331" s="348"/>
    </row>
    <row r="332" spans="2:12">
      <c r="B332" s="345"/>
      <c r="C332" s="346"/>
      <c r="D332" s="273"/>
      <c r="E332" s="273"/>
      <c r="F332" s="273"/>
      <c r="G332" s="273"/>
      <c r="H332" s="347" t="str">
        <f t="shared" si="10"/>
        <v/>
      </c>
      <c r="I332" s="274" t="str">
        <f t="shared" si="11"/>
        <v/>
      </c>
      <c r="J332" s="335"/>
      <c r="K332" s="273"/>
      <c r="L332" s="348"/>
    </row>
    <row r="333" spans="2:12">
      <c r="B333" s="345"/>
      <c r="C333" s="346"/>
      <c r="D333" s="273"/>
      <c r="E333" s="273"/>
      <c r="F333" s="273"/>
      <c r="G333" s="273"/>
      <c r="H333" s="347" t="str">
        <f t="shared" si="10"/>
        <v/>
      </c>
      <c r="I333" s="274" t="str">
        <f t="shared" si="11"/>
        <v/>
      </c>
      <c r="J333" s="335"/>
      <c r="K333" s="273"/>
      <c r="L333" s="348"/>
    </row>
    <row r="334" spans="2:12">
      <c r="B334" s="345"/>
      <c r="C334" s="346"/>
      <c r="D334" s="273"/>
      <c r="E334" s="273"/>
      <c r="F334" s="273"/>
      <c r="G334" s="273"/>
      <c r="H334" s="347" t="str">
        <f t="shared" si="10"/>
        <v/>
      </c>
      <c r="I334" s="274" t="str">
        <f t="shared" si="11"/>
        <v/>
      </c>
      <c r="J334" s="335"/>
      <c r="K334" s="273"/>
      <c r="L334" s="348"/>
    </row>
    <row r="335" spans="2:12">
      <c r="B335" s="345"/>
      <c r="C335" s="346"/>
      <c r="D335" s="273"/>
      <c r="E335" s="273"/>
      <c r="F335" s="273"/>
      <c r="G335" s="273"/>
      <c r="H335" s="347" t="str">
        <f t="shared" si="10"/>
        <v/>
      </c>
      <c r="I335" s="274" t="str">
        <f t="shared" si="11"/>
        <v/>
      </c>
      <c r="J335" s="335"/>
      <c r="K335" s="273"/>
      <c r="L335" s="348"/>
    </row>
    <row r="336" spans="2:12">
      <c r="B336" s="345"/>
      <c r="C336" s="346"/>
      <c r="D336" s="273"/>
      <c r="E336" s="273"/>
      <c r="F336" s="273"/>
      <c r="G336" s="273"/>
      <c r="H336" s="347" t="str">
        <f t="shared" si="10"/>
        <v/>
      </c>
      <c r="I336" s="274" t="str">
        <f t="shared" si="11"/>
        <v/>
      </c>
      <c r="J336" s="335"/>
      <c r="K336" s="273"/>
      <c r="L336" s="348"/>
    </row>
    <row r="337" spans="2:12">
      <c r="B337" s="345"/>
      <c r="C337" s="346"/>
      <c r="D337" s="273"/>
      <c r="E337" s="273"/>
      <c r="F337" s="273"/>
      <c r="G337" s="273"/>
      <c r="H337" s="347" t="str">
        <f t="shared" si="10"/>
        <v/>
      </c>
      <c r="I337" s="274" t="str">
        <f t="shared" si="11"/>
        <v/>
      </c>
      <c r="J337" s="335"/>
      <c r="K337" s="273"/>
      <c r="L337" s="348"/>
    </row>
    <row r="338" spans="2:12">
      <c r="B338" s="345"/>
      <c r="C338" s="346"/>
      <c r="D338" s="273"/>
      <c r="E338" s="273"/>
      <c r="F338" s="273"/>
      <c r="G338" s="273"/>
      <c r="H338" s="347" t="str">
        <f t="shared" si="10"/>
        <v/>
      </c>
      <c r="I338" s="274" t="str">
        <f t="shared" si="11"/>
        <v/>
      </c>
      <c r="J338" s="335"/>
      <c r="K338" s="273"/>
      <c r="L338" s="348"/>
    </row>
    <row r="339" spans="2:12">
      <c r="B339" s="345"/>
      <c r="C339" s="346"/>
      <c r="D339" s="273"/>
      <c r="E339" s="273"/>
      <c r="F339" s="273"/>
      <c r="G339" s="273"/>
      <c r="H339" s="347" t="str">
        <f t="shared" si="10"/>
        <v/>
      </c>
      <c r="I339" s="274" t="str">
        <f t="shared" si="11"/>
        <v/>
      </c>
      <c r="J339" s="335"/>
      <c r="K339" s="273"/>
      <c r="L339" s="348"/>
    </row>
    <row r="340" spans="2:12">
      <c r="B340" s="345"/>
      <c r="C340" s="346"/>
      <c r="D340" s="273"/>
      <c r="E340" s="273"/>
      <c r="F340" s="273"/>
      <c r="G340" s="273"/>
      <c r="H340" s="347" t="str">
        <f t="shared" si="10"/>
        <v/>
      </c>
      <c r="I340" s="274" t="str">
        <f t="shared" si="11"/>
        <v/>
      </c>
      <c r="J340" s="335"/>
      <c r="K340" s="273"/>
      <c r="L340" s="348"/>
    </row>
    <row r="341" spans="2:12">
      <c r="B341" s="345"/>
      <c r="C341" s="346"/>
      <c r="D341" s="273"/>
      <c r="E341" s="273"/>
      <c r="F341" s="273"/>
      <c r="G341" s="273"/>
      <c r="H341" s="347" t="str">
        <f t="shared" si="10"/>
        <v/>
      </c>
      <c r="I341" s="274" t="str">
        <f t="shared" si="11"/>
        <v/>
      </c>
      <c r="J341" s="335"/>
      <c r="K341" s="273"/>
      <c r="L341" s="348"/>
    </row>
    <row r="342" spans="2:12">
      <c r="B342" s="345"/>
      <c r="C342" s="346"/>
      <c r="D342" s="273"/>
      <c r="E342" s="273"/>
      <c r="F342" s="273"/>
      <c r="G342" s="273"/>
      <c r="H342" s="347" t="str">
        <f t="shared" si="10"/>
        <v/>
      </c>
      <c r="I342" s="274" t="str">
        <f t="shared" si="11"/>
        <v/>
      </c>
      <c r="J342" s="335"/>
      <c r="K342" s="273"/>
      <c r="L342" s="348"/>
    </row>
    <row r="343" spans="2:12">
      <c r="B343" s="345"/>
      <c r="C343" s="346"/>
      <c r="D343" s="273"/>
      <c r="E343" s="273"/>
      <c r="F343" s="273"/>
      <c r="G343" s="273"/>
      <c r="H343" s="347" t="str">
        <f t="shared" si="10"/>
        <v/>
      </c>
      <c r="I343" s="274" t="str">
        <f t="shared" si="11"/>
        <v/>
      </c>
      <c r="J343" s="335"/>
      <c r="K343" s="273"/>
      <c r="L343" s="348"/>
    </row>
    <row r="344" spans="2:12">
      <c r="B344" s="345"/>
      <c r="C344" s="346"/>
      <c r="D344" s="273"/>
      <c r="E344" s="273"/>
      <c r="F344" s="273"/>
      <c r="G344" s="273"/>
      <c r="H344" s="347" t="str">
        <f t="shared" si="10"/>
        <v/>
      </c>
      <c r="I344" s="274" t="str">
        <f t="shared" si="11"/>
        <v/>
      </c>
      <c r="J344" s="335"/>
      <c r="K344" s="273"/>
      <c r="L344" s="348"/>
    </row>
    <row r="345" spans="2:12">
      <c r="B345" s="345"/>
      <c r="C345" s="346"/>
      <c r="D345" s="273"/>
      <c r="E345" s="273"/>
      <c r="F345" s="273"/>
      <c r="G345" s="273"/>
      <c r="H345" s="347" t="str">
        <f t="shared" si="10"/>
        <v/>
      </c>
      <c r="I345" s="274" t="str">
        <f t="shared" si="11"/>
        <v/>
      </c>
      <c r="J345" s="335"/>
      <c r="K345" s="273"/>
      <c r="L345" s="348"/>
    </row>
    <row r="346" spans="2:12">
      <c r="B346" s="345"/>
      <c r="C346" s="346"/>
      <c r="D346" s="273"/>
      <c r="E346" s="273"/>
      <c r="F346" s="273"/>
      <c r="G346" s="273"/>
      <c r="H346" s="347" t="str">
        <f t="shared" si="10"/>
        <v/>
      </c>
      <c r="I346" s="274" t="str">
        <f t="shared" si="11"/>
        <v/>
      </c>
      <c r="J346" s="335"/>
      <c r="K346" s="273"/>
      <c r="L346" s="348"/>
    </row>
    <row r="347" spans="2:12">
      <c r="B347" s="345"/>
      <c r="C347" s="346"/>
      <c r="D347" s="273"/>
      <c r="E347" s="273"/>
      <c r="F347" s="273"/>
      <c r="G347" s="273"/>
      <c r="H347" s="347" t="str">
        <f t="shared" si="10"/>
        <v/>
      </c>
      <c r="I347" s="274" t="str">
        <f t="shared" si="11"/>
        <v/>
      </c>
      <c r="J347" s="335"/>
      <c r="K347" s="273"/>
      <c r="L347" s="348"/>
    </row>
    <row r="348" spans="2:12">
      <c r="B348" s="345"/>
      <c r="C348" s="346"/>
      <c r="D348" s="273"/>
      <c r="E348" s="273"/>
      <c r="F348" s="273"/>
      <c r="G348" s="273"/>
      <c r="H348" s="347" t="str">
        <f t="shared" si="10"/>
        <v/>
      </c>
      <c r="I348" s="274" t="str">
        <f t="shared" si="11"/>
        <v/>
      </c>
      <c r="J348" s="335"/>
      <c r="K348" s="273"/>
      <c r="L348" s="348"/>
    </row>
    <row r="349" spans="2:12">
      <c r="B349" s="345"/>
      <c r="C349" s="346"/>
      <c r="D349" s="273"/>
      <c r="E349" s="273"/>
      <c r="F349" s="273"/>
      <c r="G349" s="273"/>
      <c r="H349" s="347" t="str">
        <f t="shared" si="10"/>
        <v/>
      </c>
      <c r="I349" s="274" t="str">
        <f t="shared" si="11"/>
        <v/>
      </c>
      <c r="J349" s="335"/>
      <c r="K349" s="273"/>
      <c r="L349" s="348"/>
    </row>
    <row r="350" spans="2:12">
      <c r="B350" s="345"/>
      <c r="C350" s="346"/>
      <c r="D350" s="273"/>
      <c r="E350" s="273"/>
      <c r="F350" s="273"/>
      <c r="G350" s="273"/>
      <c r="H350" s="347" t="str">
        <f t="shared" si="10"/>
        <v/>
      </c>
      <c r="I350" s="274" t="str">
        <f t="shared" si="11"/>
        <v/>
      </c>
      <c r="J350" s="335"/>
      <c r="K350" s="273"/>
      <c r="L350" s="348"/>
    </row>
    <row r="351" spans="2:12">
      <c r="B351" s="345"/>
      <c r="C351" s="346"/>
      <c r="D351" s="273"/>
      <c r="E351" s="273"/>
      <c r="F351" s="273"/>
      <c r="G351" s="273"/>
      <c r="H351" s="347" t="str">
        <f t="shared" si="10"/>
        <v/>
      </c>
      <c r="I351" s="274" t="str">
        <f t="shared" si="11"/>
        <v/>
      </c>
      <c r="J351" s="335"/>
      <c r="K351" s="273"/>
      <c r="L351" s="348"/>
    </row>
    <row r="352" spans="2:12">
      <c r="B352" s="345"/>
      <c r="C352" s="346"/>
      <c r="D352" s="273"/>
      <c r="E352" s="273"/>
      <c r="F352" s="273"/>
      <c r="G352" s="273"/>
      <c r="H352" s="347" t="str">
        <f t="shared" si="10"/>
        <v/>
      </c>
      <c r="I352" s="274" t="str">
        <f t="shared" si="11"/>
        <v/>
      </c>
      <c r="J352" s="335"/>
      <c r="K352" s="273"/>
      <c r="L352" s="348"/>
    </row>
    <row r="353" spans="2:12">
      <c r="B353" s="345"/>
      <c r="C353" s="346"/>
      <c r="D353" s="273"/>
      <c r="E353" s="273"/>
      <c r="F353" s="273"/>
      <c r="G353" s="273"/>
      <c r="H353" s="347" t="str">
        <f t="shared" si="10"/>
        <v/>
      </c>
      <c r="I353" s="274" t="str">
        <f t="shared" si="11"/>
        <v/>
      </c>
      <c r="J353" s="335"/>
      <c r="K353" s="273"/>
      <c r="L353" s="348"/>
    </row>
    <row r="354" spans="2:12">
      <c r="B354" s="345"/>
      <c r="C354" s="346"/>
      <c r="D354" s="273"/>
      <c r="E354" s="273"/>
      <c r="F354" s="273"/>
      <c r="G354" s="273"/>
      <c r="H354" s="347" t="str">
        <f t="shared" si="10"/>
        <v/>
      </c>
      <c r="I354" s="274" t="str">
        <f t="shared" si="11"/>
        <v/>
      </c>
      <c r="J354" s="335"/>
      <c r="K354" s="273"/>
      <c r="L354" s="348"/>
    </row>
    <row r="355" spans="2:12">
      <c r="B355" s="345"/>
      <c r="C355" s="346"/>
      <c r="D355" s="273"/>
      <c r="E355" s="273"/>
      <c r="F355" s="273"/>
      <c r="G355" s="273"/>
      <c r="H355" s="347" t="str">
        <f t="shared" si="10"/>
        <v/>
      </c>
      <c r="I355" s="274" t="str">
        <f t="shared" si="11"/>
        <v/>
      </c>
      <c r="J355" s="335"/>
      <c r="K355" s="273"/>
      <c r="L355" s="348"/>
    </row>
    <row r="356" spans="2:12">
      <c r="B356" s="345"/>
      <c r="C356" s="346"/>
      <c r="D356" s="273"/>
      <c r="E356" s="273"/>
      <c r="F356" s="273"/>
      <c r="G356" s="273"/>
      <c r="H356" s="347" t="str">
        <f t="shared" si="10"/>
        <v/>
      </c>
      <c r="I356" s="274" t="str">
        <f t="shared" si="11"/>
        <v/>
      </c>
      <c r="J356" s="335"/>
      <c r="K356" s="273"/>
      <c r="L356" s="348"/>
    </row>
    <row r="357" spans="2:12">
      <c r="B357" s="345"/>
      <c r="C357" s="346"/>
      <c r="D357" s="273"/>
      <c r="E357" s="273"/>
      <c r="F357" s="273"/>
      <c r="G357" s="273"/>
      <c r="H357" s="347" t="str">
        <f t="shared" si="10"/>
        <v/>
      </c>
      <c r="I357" s="274" t="str">
        <f t="shared" si="11"/>
        <v/>
      </c>
      <c r="J357" s="335"/>
      <c r="K357" s="273"/>
      <c r="L357" s="348"/>
    </row>
    <row r="358" spans="2:12">
      <c r="B358" s="345"/>
      <c r="C358" s="346"/>
      <c r="D358" s="273"/>
      <c r="E358" s="273"/>
      <c r="F358" s="273"/>
      <c r="G358" s="273"/>
      <c r="H358" s="347" t="str">
        <f t="shared" si="10"/>
        <v/>
      </c>
      <c r="I358" s="274" t="str">
        <f t="shared" si="11"/>
        <v/>
      </c>
      <c r="J358" s="335"/>
      <c r="K358" s="273"/>
      <c r="L358" s="348"/>
    </row>
    <row r="359" spans="2:12">
      <c r="B359" s="345"/>
      <c r="C359" s="346"/>
      <c r="D359" s="273"/>
      <c r="E359" s="273"/>
      <c r="F359" s="273"/>
      <c r="G359" s="273"/>
      <c r="H359" s="347" t="str">
        <f t="shared" si="10"/>
        <v/>
      </c>
      <c r="I359" s="274" t="str">
        <f t="shared" si="11"/>
        <v/>
      </c>
      <c r="J359" s="335"/>
      <c r="K359" s="273"/>
      <c r="L359" s="348"/>
    </row>
    <row r="360" spans="2:12">
      <c r="B360" s="345"/>
      <c r="C360" s="346"/>
      <c r="D360" s="273"/>
      <c r="E360" s="273"/>
      <c r="F360" s="273"/>
      <c r="G360" s="273"/>
      <c r="H360" s="347" t="str">
        <f t="shared" si="10"/>
        <v/>
      </c>
      <c r="I360" s="274" t="str">
        <f t="shared" si="11"/>
        <v/>
      </c>
      <c r="J360" s="335"/>
      <c r="K360" s="273"/>
      <c r="L360" s="348"/>
    </row>
    <row r="361" spans="2:12">
      <c r="B361" s="345"/>
      <c r="C361" s="346"/>
      <c r="D361" s="273"/>
      <c r="E361" s="273"/>
      <c r="F361" s="273"/>
      <c r="G361" s="273"/>
      <c r="H361" s="347" t="str">
        <f t="shared" si="10"/>
        <v/>
      </c>
      <c r="I361" s="274" t="str">
        <f t="shared" si="11"/>
        <v/>
      </c>
      <c r="J361" s="335"/>
      <c r="K361" s="273"/>
      <c r="L361" s="348"/>
    </row>
    <row r="362" spans="2:12">
      <c r="B362" s="345"/>
      <c r="C362" s="346"/>
      <c r="D362" s="273"/>
      <c r="E362" s="273"/>
      <c r="F362" s="273"/>
      <c r="G362" s="273"/>
      <c r="H362" s="347" t="str">
        <f t="shared" si="10"/>
        <v/>
      </c>
      <c r="I362" s="274" t="str">
        <f t="shared" si="11"/>
        <v/>
      </c>
      <c r="J362" s="335"/>
      <c r="K362" s="273"/>
      <c r="L362" s="348"/>
    </row>
    <row r="363" spans="2:12">
      <c r="B363" s="345"/>
      <c r="C363" s="346"/>
      <c r="D363" s="273"/>
      <c r="E363" s="273"/>
      <c r="F363" s="273"/>
      <c r="G363" s="273"/>
      <c r="H363" s="347" t="str">
        <f t="shared" si="10"/>
        <v/>
      </c>
      <c r="I363" s="274" t="str">
        <f t="shared" si="11"/>
        <v/>
      </c>
      <c r="J363" s="335"/>
      <c r="K363" s="273"/>
      <c r="L363" s="348"/>
    </row>
    <row r="364" spans="2:12">
      <c r="B364" s="345"/>
      <c r="C364" s="346"/>
      <c r="D364" s="273"/>
      <c r="E364" s="273"/>
      <c r="F364" s="273"/>
      <c r="G364" s="273"/>
      <c r="H364" s="347" t="str">
        <f t="shared" si="10"/>
        <v/>
      </c>
      <c r="I364" s="274" t="str">
        <f t="shared" si="11"/>
        <v/>
      </c>
      <c r="J364" s="335"/>
      <c r="K364" s="273"/>
      <c r="L364" s="348"/>
    </row>
    <row r="365" spans="2:12">
      <c r="B365" s="345"/>
      <c r="C365" s="346"/>
      <c r="D365" s="273"/>
      <c r="E365" s="273"/>
      <c r="F365" s="273"/>
      <c r="G365" s="273"/>
      <c r="H365" s="347" t="str">
        <f t="shared" si="10"/>
        <v/>
      </c>
      <c r="I365" s="274" t="str">
        <f t="shared" si="11"/>
        <v/>
      </c>
      <c r="J365" s="335"/>
      <c r="K365" s="273"/>
      <c r="L365" s="348"/>
    </row>
    <row r="366" spans="2:12">
      <c r="B366" s="345"/>
      <c r="C366" s="346"/>
      <c r="D366" s="273"/>
      <c r="E366" s="273"/>
      <c r="F366" s="273"/>
      <c r="G366" s="273"/>
      <c r="H366" s="347" t="str">
        <f t="shared" si="10"/>
        <v/>
      </c>
      <c r="I366" s="274" t="str">
        <f t="shared" si="11"/>
        <v/>
      </c>
      <c r="J366" s="335"/>
      <c r="K366" s="273"/>
      <c r="L366" s="348"/>
    </row>
    <row r="367" spans="2:12">
      <c r="B367" s="345"/>
      <c r="C367" s="346"/>
      <c r="D367" s="273"/>
      <c r="E367" s="273"/>
      <c r="F367" s="273"/>
      <c r="G367" s="273"/>
      <c r="H367" s="347" t="str">
        <f t="shared" si="10"/>
        <v/>
      </c>
      <c r="I367" s="274" t="str">
        <f t="shared" si="11"/>
        <v/>
      </c>
      <c r="J367" s="335"/>
      <c r="K367" s="273"/>
      <c r="L367" s="348"/>
    </row>
    <row r="368" spans="2:12">
      <c r="B368" s="345"/>
      <c r="C368" s="346"/>
      <c r="D368" s="273"/>
      <c r="E368" s="273"/>
      <c r="F368" s="273"/>
      <c r="G368" s="273"/>
      <c r="H368" s="347" t="str">
        <f t="shared" si="10"/>
        <v/>
      </c>
      <c r="I368" s="274" t="str">
        <f t="shared" si="11"/>
        <v/>
      </c>
      <c r="J368" s="335"/>
      <c r="K368" s="273"/>
      <c r="L368" s="348"/>
    </row>
    <row r="369" spans="2:12">
      <c r="B369" s="345"/>
      <c r="C369" s="346"/>
      <c r="D369" s="273"/>
      <c r="E369" s="273"/>
      <c r="F369" s="273"/>
      <c r="G369" s="273"/>
      <c r="H369" s="347" t="str">
        <f t="shared" si="10"/>
        <v/>
      </c>
      <c r="I369" s="274" t="str">
        <f t="shared" si="11"/>
        <v/>
      </c>
      <c r="J369" s="335"/>
      <c r="K369" s="273"/>
      <c r="L369" s="348"/>
    </row>
    <row r="370" spans="2:12">
      <c r="B370" s="345"/>
      <c r="C370" s="346"/>
      <c r="D370" s="273"/>
      <c r="E370" s="273"/>
      <c r="F370" s="273"/>
      <c r="G370" s="273"/>
      <c r="H370" s="347" t="str">
        <f t="shared" si="10"/>
        <v/>
      </c>
      <c r="I370" s="274" t="str">
        <f t="shared" si="11"/>
        <v/>
      </c>
      <c r="J370" s="335"/>
      <c r="K370" s="273"/>
      <c r="L370" s="348"/>
    </row>
    <row r="371" spans="2:12">
      <c r="B371" s="345"/>
      <c r="C371" s="346"/>
      <c r="D371" s="273"/>
      <c r="E371" s="273"/>
      <c r="F371" s="273"/>
      <c r="G371" s="273"/>
      <c r="H371" s="347" t="str">
        <f t="shared" si="10"/>
        <v/>
      </c>
      <c r="I371" s="274" t="str">
        <f t="shared" si="11"/>
        <v/>
      </c>
      <c r="J371" s="335"/>
      <c r="K371" s="273"/>
      <c r="L371" s="348"/>
    </row>
    <row r="372" spans="2:12">
      <c r="B372" s="345"/>
      <c r="C372" s="346"/>
      <c r="D372" s="273"/>
      <c r="E372" s="273"/>
      <c r="F372" s="273"/>
      <c r="G372" s="273"/>
      <c r="H372" s="347" t="str">
        <f t="shared" si="10"/>
        <v/>
      </c>
      <c r="I372" s="274" t="str">
        <f t="shared" si="11"/>
        <v/>
      </c>
      <c r="J372" s="335"/>
      <c r="K372" s="273"/>
      <c r="L372" s="348"/>
    </row>
    <row r="373" spans="2:12">
      <c r="B373" s="345"/>
      <c r="C373" s="346"/>
      <c r="D373" s="273"/>
      <c r="E373" s="273"/>
      <c r="F373" s="273"/>
      <c r="G373" s="273"/>
      <c r="H373" s="347" t="str">
        <f t="shared" si="10"/>
        <v/>
      </c>
      <c r="I373" s="274" t="str">
        <f t="shared" si="11"/>
        <v/>
      </c>
      <c r="J373" s="335"/>
      <c r="K373" s="273"/>
      <c r="L373" s="348"/>
    </row>
    <row r="374" spans="2:12">
      <c r="B374" s="345"/>
      <c r="C374" s="346"/>
      <c r="D374" s="273"/>
      <c r="E374" s="273"/>
      <c r="F374" s="273"/>
      <c r="G374" s="273"/>
      <c r="H374" s="347" t="str">
        <f t="shared" si="10"/>
        <v/>
      </c>
      <c r="I374" s="274" t="str">
        <f t="shared" si="11"/>
        <v/>
      </c>
      <c r="J374" s="335"/>
      <c r="K374" s="273"/>
      <c r="L374" s="348"/>
    </row>
    <row r="375" spans="2:12">
      <c r="B375" s="345"/>
      <c r="C375" s="346"/>
      <c r="D375" s="273"/>
      <c r="E375" s="273"/>
      <c r="F375" s="273"/>
      <c r="G375" s="273"/>
      <c r="H375" s="347" t="str">
        <f t="shared" si="10"/>
        <v/>
      </c>
      <c r="I375" s="274" t="str">
        <f t="shared" si="11"/>
        <v/>
      </c>
      <c r="J375" s="335"/>
      <c r="K375" s="273"/>
      <c r="L375" s="348"/>
    </row>
    <row r="376" spans="2:12">
      <c r="B376" s="345"/>
      <c r="C376" s="346"/>
      <c r="D376" s="273"/>
      <c r="E376" s="273"/>
      <c r="F376" s="273"/>
      <c r="G376" s="273"/>
      <c r="H376" s="347" t="str">
        <f t="shared" si="10"/>
        <v/>
      </c>
      <c r="I376" s="274" t="str">
        <f t="shared" si="11"/>
        <v/>
      </c>
      <c r="J376" s="335"/>
      <c r="K376" s="273"/>
      <c r="L376" s="348"/>
    </row>
    <row r="377" spans="2:12">
      <c r="B377" s="345"/>
      <c r="C377" s="346"/>
      <c r="D377" s="273"/>
      <c r="E377" s="273"/>
      <c r="F377" s="273"/>
      <c r="G377" s="273"/>
      <c r="H377" s="347" t="str">
        <f t="shared" si="10"/>
        <v/>
      </c>
      <c r="I377" s="274" t="str">
        <f t="shared" si="11"/>
        <v/>
      </c>
      <c r="J377" s="335"/>
      <c r="K377" s="273"/>
      <c r="L377" s="348"/>
    </row>
    <row r="378" spans="2:12">
      <c r="B378" s="345"/>
      <c r="C378" s="346"/>
      <c r="D378" s="273"/>
      <c r="E378" s="273"/>
      <c r="F378" s="273"/>
      <c r="G378" s="273"/>
      <c r="H378" s="347" t="str">
        <f t="shared" si="10"/>
        <v/>
      </c>
      <c r="I378" s="274" t="str">
        <f t="shared" si="11"/>
        <v/>
      </c>
      <c r="J378" s="335"/>
      <c r="K378" s="273"/>
      <c r="L378" s="348"/>
    </row>
    <row r="379" spans="2:12">
      <c r="B379" s="345"/>
      <c r="C379" s="346"/>
      <c r="D379" s="273"/>
      <c r="E379" s="273"/>
      <c r="F379" s="273"/>
      <c r="G379" s="273"/>
      <c r="H379" s="347" t="str">
        <f t="shared" si="10"/>
        <v/>
      </c>
      <c r="I379" s="274" t="str">
        <f t="shared" si="11"/>
        <v/>
      </c>
      <c r="J379" s="335"/>
      <c r="K379" s="273"/>
      <c r="L379" s="348"/>
    </row>
    <row r="380" spans="2:12">
      <c r="B380" s="345"/>
      <c r="C380" s="346"/>
      <c r="D380" s="273"/>
      <c r="E380" s="273"/>
      <c r="F380" s="273"/>
      <c r="G380" s="273"/>
      <c r="H380" s="347" t="str">
        <f t="shared" si="10"/>
        <v/>
      </c>
      <c r="I380" s="274" t="str">
        <f t="shared" si="11"/>
        <v/>
      </c>
      <c r="J380" s="335"/>
      <c r="K380" s="273"/>
      <c r="L380" s="348"/>
    </row>
    <row r="381" spans="2:12">
      <c r="B381" s="345"/>
      <c r="C381" s="346"/>
      <c r="D381" s="273"/>
      <c r="E381" s="273"/>
      <c r="F381" s="273"/>
      <c r="G381" s="273"/>
      <c r="H381" s="347" t="str">
        <f t="shared" si="10"/>
        <v/>
      </c>
      <c r="I381" s="274" t="str">
        <f t="shared" si="11"/>
        <v/>
      </c>
      <c r="J381" s="335"/>
      <c r="K381" s="273"/>
      <c r="L381" s="348"/>
    </row>
    <row r="382" spans="2:12">
      <c r="B382" s="345"/>
      <c r="C382" s="346"/>
      <c r="D382" s="273"/>
      <c r="E382" s="273"/>
      <c r="F382" s="273"/>
      <c r="G382" s="273"/>
      <c r="H382" s="347" t="str">
        <f t="shared" si="10"/>
        <v/>
      </c>
      <c r="I382" s="274" t="str">
        <f t="shared" si="11"/>
        <v/>
      </c>
      <c r="J382" s="335"/>
      <c r="K382" s="273"/>
      <c r="L382" s="348"/>
    </row>
    <row r="383" spans="2:12">
      <c r="B383" s="345"/>
      <c r="C383" s="346"/>
      <c r="D383" s="273"/>
      <c r="E383" s="273"/>
      <c r="F383" s="273"/>
      <c r="G383" s="273"/>
      <c r="H383" s="347" t="str">
        <f t="shared" si="10"/>
        <v/>
      </c>
      <c r="I383" s="274" t="str">
        <f t="shared" si="11"/>
        <v/>
      </c>
      <c r="J383" s="335"/>
      <c r="K383" s="273"/>
      <c r="L383" s="348"/>
    </row>
    <row r="384" spans="2:12">
      <c r="B384" s="345"/>
      <c r="C384" s="346"/>
      <c r="D384" s="273"/>
      <c r="E384" s="273"/>
      <c r="F384" s="273"/>
      <c r="G384" s="273"/>
      <c r="H384" s="347" t="str">
        <f t="shared" si="10"/>
        <v/>
      </c>
      <c r="I384" s="274" t="str">
        <f t="shared" si="11"/>
        <v/>
      </c>
      <c r="J384" s="335"/>
      <c r="K384" s="273"/>
      <c r="L384" s="348"/>
    </row>
    <row r="385" spans="2:12">
      <c r="B385" s="345"/>
      <c r="C385" s="346"/>
      <c r="D385" s="273"/>
      <c r="E385" s="273"/>
      <c r="F385" s="273"/>
      <c r="G385" s="273"/>
      <c r="H385" s="347" t="str">
        <f t="shared" si="10"/>
        <v/>
      </c>
      <c r="I385" s="274" t="str">
        <f t="shared" si="11"/>
        <v/>
      </c>
      <c r="J385" s="335"/>
      <c r="K385" s="273"/>
      <c r="L385" s="348"/>
    </row>
    <row r="386" spans="2:12">
      <c r="B386" s="345"/>
      <c r="C386" s="346"/>
      <c r="D386" s="273"/>
      <c r="E386" s="273"/>
      <c r="F386" s="273"/>
      <c r="G386" s="273"/>
      <c r="H386" s="347" t="str">
        <f t="shared" si="10"/>
        <v/>
      </c>
      <c r="I386" s="274" t="str">
        <f t="shared" si="11"/>
        <v/>
      </c>
      <c r="J386" s="335"/>
      <c r="K386" s="273"/>
      <c r="L386" s="348"/>
    </row>
    <row r="387" spans="2:12">
      <c r="B387" s="345"/>
      <c r="C387" s="346"/>
      <c r="D387" s="273"/>
      <c r="E387" s="273"/>
      <c r="F387" s="273"/>
      <c r="G387" s="273"/>
      <c r="H387" s="347" t="str">
        <f t="shared" si="10"/>
        <v/>
      </c>
      <c r="I387" s="274" t="str">
        <f t="shared" si="11"/>
        <v/>
      </c>
      <c r="J387" s="335"/>
      <c r="K387" s="273"/>
      <c r="L387" s="348"/>
    </row>
    <row r="388" spans="2:12">
      <c r="B388" s="345"/>
      <c r="C388" s="346"/>
      <c r="D388" s="273"/>
      <c r="E388" s="273"/>
      <c r="F388" s="273"/>
      <c r="G388" s="273"/>
      <c r="H388" s="347" t="str">
        <f t="shared" si="10"/>
        <v/>
      </c>
      <c r="I388" s="274" t="str">
        <f t="shared" si="11"/>
        <v/>
      </c>
      <c r="J388" s="335"/>
      <c r="K388" s="273"/>
      <c r="L388" s="348"/>
    </row>
    <row r="389" spans="2:12">
      <c r="B389" s="345"/>
      <c r="C389" s="346"/>
      <c r="D389" s="273"/>
      <c r="E389" s="273"/>
      <c r="F389" s="273"/>
      <c r="G389" s="273"/>
      <c r="H389" s="347" t="str">
        <f t="shared" si="10"/>
        <v/>
      </c>
      <c r="I389" s="274" t="str">
        <f t="shared" si="11"/>
        <v/>
      </c>
      <c r="J389" s="335"/>
      <c r="K389" s="273"/>
      <c r="L389" s="348"/>
    </row>
    <row r="390" spans="2:12">
      <c r="B390" s="345"/>
      <c r="C390" s="346"/>
      <c r="D390" s="273"/>
      <c r="E390" s="273"/>
      <c r="F390" s="273"/>
      <c r="G390" s="273"/>
      <c r="H390" s="347" t="str">
        <f t="shared" si="10"/>
        <v/>
      </c>
      <c r="I390" s="274" t="str">
        <f t="shared" si="11"/>
        <v/>
      </c>
      <c r="J390" s="335"/>
      <c r="K390" s="273"/>
      <c r="L390" s="348"/>
    </row>
    <row r="391" spans="2:12">
      <c r="B391" s="345"/>
      <c r="C391" s="346"/>
      <c r="D391" s="273"/>
      <c r="E391" s="273"/>
      <c r="F391" s="273"/>
      <c r="G391" s="273"/>
      <c r="H391" s="347" t="str">
        <f t="shared" si="10"/>
        <v/>
      </c>
      <c r="I391" s="274" t="str">
        <f t="shared" si="11"/>
        <v/>
      </c>
      <c r="J391" s="335"/>
      <c r="K391" s="273"/>
      <c r="L391" s="348"/>
    </row>
    <row r="392" spans="2:12">
      <c r="B392" s="345"/>
      <c r="C392" s="346"/>
      <c r="D392" s="273"/>
      <c r="E392" s="273"/>
      <c r="F392" s="273"/>
      <c r="G392" s="273"/>
      <c r="H392" s="347" t="str">
        <f t="shared" si="10"/>
        <v/>
      </c>
      <c r="I392" s="274" t="str">
        <f t="shared" si="11"/>
        <v/>
      </c>
      <c r="J392" s="335"/>
      <c r="K392" s="273"/>
      <c r="L392" s="348"/>
    </row>
    <row r="393" spans="2:12">
      <c r="B393" s="345"/>
      <c r="C393" s="346"/>
      <c r="D393" s="273"/>
      <c r="E393" s="273"/>
      <c r="F393" s="273"/>
      <c r="G393" s="273"/>
      <c r="H393" s="347" t="str">
        <f t="shared" si="10"/>
        <v/>
      </c>
      <c r="I393" s="274" t="str">
        <f t="shared" si="11"/>
        <v/>
      </c>
      <c r="J393" s="335"/>
      <c r="K393" s="273"/>
      <c r="L393" s="348"/>
    </row>
    <row r="394" spans="2:12">
      <c r="B394" s="345"/>
      <c r="C394" s="346"/>
      <c r="D394" s="273"/>
      <c r="E394" s="273"/>
      <c r="F394" s="273"/>
      <c r="G394" s="273"/>
      <c r="H394" s="347" t="str">
        <f t="shared" si="10"/>
        <v/>
      </c>
      <c r="I394" s="274" t="str">
        <f t="shared" si="11"/>
        <v/>
      </c>
      <c r="J394" s="335"/>
      <c r="K394" s="273"/>
      <c r="L394" s="348"/>
    </row>
    <row r="395" spans="2:12">
      <c r="B395" s="345"/>
      <c r="C395" s="346"/>
      <c r="D395" s="273"/>
      <c r="E395" s="273"/>
      <c r="F395" s="273"/>
      <c r="G395" s="273"/>
      <c r="H395" s="347" t="str">
        <f t="shared" ref="H395:H458" si="12">IF(G395="Large","NRS",IF(G395="International","FRS",IF(G395="SME - Medium","SME",IF(G395="SME - Micro","SME",IF(G395="SME - Small","SME","")))))</f>
        <v/>
      </c>
      <c r="I395" s="274" t="str">
        <f t="shared" ref="I395:I458" si="13">IF(H395="FRS","No","")</f>
        <v/>
      </c>
      <c r="J395" s="335"/>
      <c r="K395" s="273"/>
      <c r="L395" s="348"/>
    </row>
    <row r="396" spans="2:12">
      <c r="B396" s="345"/>
      <c r="C396" s="346"/>
      <c r="D396" s="273"/>
      <c r="E396" s="273"/>
      <c r="F396" s="273"/>
      <c r="G396" s="273"/>
      <c r="H396" s="347" t="str">
        <f t="shared" si="12"/>
        <v/>
      </c>
      <c r="I396" s="274" t="str">
        <f t="shared" si="13"/>
        <v/>
      </c>
      <c r="J396" s="335"/>
      <c r="K396" s="273"/>
      <c r="L396" s="348"/>
    </row>
    <row r="397" spans="2:12">
      <c r="B397" s="345"/>
      <c r="C397" s="346"/>
      <c r="D397" s="273"/>
      <c r="E397" s="273"/>
      <c r="F397" s="273"/>
      <c r="G397" s="273"/>
      <c r="H397" s="347" t="str">
        <f t="shared" si="12"/>
        <v/>
      </c>
      <c r="I397" s="274" t="str">
        <f t="shared" si="13"/>
        <v/>
      </c>
      <c r="J397" s="335"/>
      <c r="K397" s="273"/>
      <c r="L397" s="348"/>
    </row>
    <row r="398" spans="2:12">
      <c r="B398" s="345"/>
      <c r="C398" s="346"/>
      <c r="D398" s="273"/>
      <c r="E398" s="273"/>
      <c r="F398" s="273"/>
      <c r="G398" s="273"/>
      <c r="H398" s="347" t="str">
        <f t="shared" si="12"/>
        <v/>
      </c>
      <c r="I398" s="274" t="str">
        <f t="shared" si="13"/>
        <v/>
      </c>
      <c r="J398" s="335"/>
      <c r="K398" s="273"/>
      <c r="L398" s="348"/>
    </row>
    <row r="399" spans="2:12">
      <c r="B399" s="345"/>
      <c r="C399" s="346"/>
      <c r="D399" s="273"/>
      <c r="E399" s="273"/>
      <c r="F399" s="273"/>
      <c r="G399" s="273"/>
      <c r="H399" s="347" t="str">
        <f t="shared" si="12"/>
        <v/>
      </c>
      <c r="I399" s="274" t="str">
        <f t="shared" si="13"/>
        <v/>
      </c>
      <c r="J399" s="335"/>
      <c r="K399" s="273"/>
      <c r="L399" s="348"/>
    </row>
    <row r="400" spans="2:12">
      <c r="B400" s="345"/>
      <c r="C400" s="346"/>
      <c r="D400" s="273"/>
      <c r="E400" s="273"/>
      <c r="F400" s="273"/>
      <c r="G400" s="273"/>
      <c r="H400" s="347" t="str">
        <f t="shared" si="12"/>
        <v/>
      </c>
      <c r="I400" s="274" t="str">
        <f t="shared" si="13"/>
        <v/>
      </c>
      <c r="J400" s="335"/>
      <c r="K400" s="273"/>
      <c r="L400" s="348"/>
    </row>
    <row r="401" spans="2:12">
      <c r="B401" s="345"/>
      <c r="C401" s="346"/>
      <c r="D401" s="273"/>
      <c r="E401" s="273"/>
      <c r="F401" s="273"/>
      <c r="G401" s="273"/>
      <c r="H401" s="347" t="str">
        <f t="shared" si="12"/>
        <v/>
      </c>
      <c r="I401" s="274" t="str">
        <f t="shared" si="13"/>
        <v/>
      </c>
      <c r="J401" s="335"/>
      <c r="K401" s="273"/>
      <c r="L401" s="348"/>
    </row>
    <row r="402" spans="2:12">
      <c r="B402" s="345"/>
      <c r="C402" s="346"/>
      <c r="D402" s="273"/>
      <c r="E402" s="273"/>
      <c r="F402" s="273"/>
      <c r="G402" s="273"/>
      <c r="H402" s="347" t="str">
        <f t="shared" si="12"/>
        <v/>
      </c>
      <c r="I402" s="274" t="str">
        <f t="shared" si="13"/>
        <v/>
      </c>
      <c r="J402" s="335"/>
      <c r="K402" s="273"/>
      <c r="L402" s="348"/>
    </row>
    <row r="403" spans="2:12">
      <c r="B403" s="345"/>
      <c r="C403" s="346"/>
      <c r="D403" s="273"/>
      <c r="E403" s="273"/>
      <c r="F403" s="273"/>
      <c r="G403" s="273"/>
      <c r="H403" s="347" t="str">
        <f t="shared" si="12"/>
        <v/>
      </c>
      <c r="I403" s="274" t="str">
        <f t="shared" si="13"/>
        <v/>
      </c>
      <c r="J403" s="335"/>
      <c r="K403" s="273"/>
      <c r="L403" s="348"/>
    </row>
    <row r="404" spans="2:12">
      <c r="B404" s="345"/>
      <c r="C404" s="346"/>
      <c r="D404" s="273"/>
      <c r="E404" s="273"/>
      <c r="F404" s="273"/>
      <c r="G404" s="273"/>
      <c r="H404" s="347" t="str">
        <f t="shared" si="12"/>
        <v/>
      </c>
      <c r="I404" s="274" t="str">
        <f t="shared" si="13"/>
        <v/>
      </c>
      <c r="J404" s="335"/>
      <c r="K404" s="273"/>
      <c r="L404" s="348"/>
    </row>
    <row r="405" spans="2:12">
      <c r="B405" s="345"/>
      <c r="C405" s="346"/>
      <c r="D405" s="273"/>
      <c r="E405" s="273"/>
      <c r="F405" s="273"/>
      <c r="G405" s="273"/>
      <c r="H405" s="347" t="str">
        <f t="shared" si="12"/>
        <v/>
      </c>
      <c r="I405" s="274" t="str">
        <f t="shared" si="13"/>
        <v/>
      </c>
      <c r="J405" s="335"/>
      <c r="K405" s="273"/>
      <c r="L405" s="348"/>
    </row>
    <row r="406" spans="2:12">
      <c r="B406" s="345"/>
      <c r="C406" s="346"/>
      <c r="D406" s="273"/>
      <c r="E406" s="273"/>
      <c r="F406" s="273"/>
      <c r="G406" s="273"/>
      <c r="H406" s="347" t="str">
        <f t="shared" si="12"/>
        <v/>
      </c>
      <c r="I406" s="274" t="str">
        <f t="shared" si="13"/>
        <v/>
      </c>
      <c r="J406" s="335"/>
      <c r="K406" s="273"/>
      <c r="L406" s="348"/>
    </row>
    <row r="407" spans="2:12">
      <c r="B407" s="345"/>
      <c r="C407" s="346"/>
      <c r="D407" s="273"/>
      <c r="E407" s="273"/>
      <c r="F407" s="273"/>
      <c r="G407" s="273"/>
      <c r="H407" s="347" t="str">
        <f t="shared" si="12"/>
        <v/>
      </c>
      <c r="I407" s="274" t="str">
        <f t="shared" si="13"/>
        <v/>
      </c>
      <c r="J407" s="335"/>
      <c r="K407" s="273"/>
      <c r="L407" s="348"/>
    </row>
    <row r="408" spans="2:12">
      <c r="B408" s="345"/>
      <c r="C408" s="346"/>
      <c r="D408" s="273"/>
      <c r="E408" s="273"/>
      <c r="F408" s="273"/>
      <c r="G408" s="273"/>
      <c r="H408" s="347" t="str">
        <f t="shared" si="12"/>
        <v/>
      </c>
      <c r="I408" s="274" t="str">
        <f t="shared" si="13"/>
        <v/>
      </c>
      <c r="J408" s="335"/>
      <c r="K408" s="273"/>
      <c r="L408" s="348"/>
    </row>
    <row r="409" spans="2:12">
      <c r="B409" s="345"/>
      <c r="C409" s="346"/>
      <c r="D409" s="273"/>
      <c r="E409" s="273"/>
      <c r="F409" s="273"/>
      <c r="G409" s="273"/>
      <c r="H409" s="347" t="str">
        <f t="shared" si="12"/>
        <v/>
      </c>
      <c r="I409" s="274" t="str">
        <f t="shared" si="13"/>
        <v/>
      </c>
      <c r="J409" s="335"/>
      <c r="K409" s="273"/>
      <c r="L409" s="348"/>
    </row>
    <row r="410" spans="2:12">
      <c r="B410" s="345"/>
      <c r="C410" s="346"/>
      <c r="D410" s="273"/>
      <c r="E410" s="273"/>
      <c r="F410" s="273"/>
      <c r="G410" s="273"/>
      <c r="H410" s="347" t="str">
        <f t="shared" si="12"/>
        <v/>
      </c>
      <c r="I410" s="274" t="str">
        <f t="shared" si="13"/>
        <v/>
      </c>
      <c r="J410" s="335"/>
      <c r="K410" s="273"/>
      <c r="L410" s="348"/>
    </row>
    <row r="411" spans="2:12">
      <c r="B411" s="345"/>
      <c r="C411" s="346"/>
      <c r="D411" s="273"/>
      <c r="E411" s="273"/>
      <c r="F411" s="273"/>
      <c r="G411" s="273"/>
      <c r="H411" s="347" t="str">
        <f t="shared" si="12"/>
        <v/>
      </c>
      <c r="I411" s="274" t="str">
        <f t="shared" si="13"/>
        <v/>
      </c>
      <c r="J411" s="335"/>
      <c r="K411" s="273"/>
      <c r="L411" s="348"/>
    </row>
    <row r="412" spans="2:12">
      <c r="B412" s="345"/>
      <c r="C412" s="346"/>
      <c r="D412" s="273"/>
      <c r="E412" s="273"/>
      <c r="F412" s="273"/>
      <c r="G412" s="273"/>
      <c r="H412" s="347" t="str">
        <f t="shared" si="12"/>
        <v/>
      </c>
      <c r="I412" s="274" t="str">
        <f t="shared" si="13"/>
        <v/>
      </c>
      <c r="J412" s="335"/>
      <c r="K412" s="273"/>
      <c r="L412" s="348"/>
    </row>
    <row r="413" spans="2:12">
      <c r="B413" s="345"/>
      <c r="C413" s="346"/>
      <c r="D413" s="273"/>
      <c r="E413" s="273"/>
      <c r="F413" s="273"/>
      <c r="G413" s="273"/>
      <c r="H413" s="347" t="str">
        <f t="shared" si="12"/>
        <v/>
      </c>
      <c r="I413" s="274" t="str">
        <f t="shared" si="13"/>
        <v/>
      </c>
      <c r="J413" s="335"/>
      <c r="K413" s="273"/>
      <c r="L413" s="348"/>
    </row>
    <row r="414" spans="2:12">
      <c r="B414" s="345"/>
      <c r="C414" s="346"/>
      <c r="D414" s="273"/>
      <c r="E414" s="273"/>
      <c r="F414" s="273"/>
      <c r="G414" s="273"/>
      <c r="H414" s="347" t="str">
        <f t="shared" si="12"/>
        <v/>
      </c>
      <c r="I414" s="274" t="str">
        <f t="shared" si="13"/>
        <v/>
      </c>
      <c r="J414" s="335"/>
      <c r="K414" s="273"/>
      <c r="L414" s="348"/>
    </row>
    <row r="415" spans="2:12">
      <c r="B415" s="345"/>
      <c r="C415" s="346"/>
      <c r="D415" s="273"/>
      <c r="E415" s="273"/>
      <c r="F415" s="273"/>
      <c r="G415" s="273"/>
      <c r="H415" s="347" t="str">
        <f t="shared" si="12"/>
        <v/>
      </c>
      <c r="I415" s="274" t="str">
        <f t="shared" si="13"/>
        <v/>
      </c>
      <c r="J415" s="335"/>
      <c r="K415" s="273"/>
      <c r="L415" s="348"/>
    </row>
    <row r="416" spans="2:12">
      <c r="B416" s="345"/>
      <c r="C416" s="346"/>
      <c r="D416" s="273"/>
      <c r="E416" s="273"/>
      <c r="F416" s="273"/>
      <c r="G416" s="273"/>
      <c r="H416" s="347" t="str">
        <f t="shared" si="12"/>
        <v/>
      </c>
      <c r="I416" s="274" t="str">
        <f t="shared" si="13"/>
        <v/>
      </c>
      <c r="J416" s="335"/>
      <c r="K416" s="273"/>
      <c r="L416" s="348"/>
    </row>
    <row r="417" spans="2:12">
      <c r="B417" s="345"/>
      <c r="C417" s="346"/>
      <c r="D417" s="273"/>
      <c r="E417" s="273"/>
      <c r="F417" s="273"/>
      <c r="G417" s="273"/>
      <c r="H417" s="347" t="str">
        <f t="shared" si="12"/>
        <v/>
      </c>
      <c r="I417" s="274" t="str">
        <f t="shared" si="13"/>
        <v/>
      </c>
      <c r="J417" s="335"/>
      <c r="K417" s="273"/>
      <c r="L417" s="348"/>
    </row>
    <row r="418" spans="2:12">
      <c r="B418" s="345"/>
      <c r="C418" s="346"/>
      <c r="D418" s="273"/>
      <c r="E418" s="273"/>
      <c r="F418" s="273"/>
      <c r="G418" s="273"/>
      <c r="H418" s="347" t="str">
        <f t="shared" si="12"/>
        <v/>
      </c>
      <c r="I418" s="274" t="str">
        <f t="shared" si="13"/>
        <v/>
      </c>
      <c r="J418" s="335"/>
      <c r="K418" s="273"/>
      <c r="L418" s="348"/>
    </row>
    <row r="419" spans="2:12">
      <c r="B419" s="345"/>
      <c r="C419" s="346"/>
      <c r="D419" s="273"/>
      <c r="E419" s="273"/>
      <c r="F419" s="273"/>
      <c r="G419" s="273"/>
      <c r="H419" s="347" t="str">
        <f t="shared" si="12"/>
        <v/>
      </c>
      <c r="I419" s="274" t="str">
        <f t="shared" si="13"/>
        <v/>
      </c>
      <c r="J419" s="335"/>
      <c r="K419" s="273"/>
      <c r="L419" s="348"/>
    </row>
    <row r="420" spans="2:12">
      <c r="B420" s="345"/>
      <c r="C420" s="346"/>
      <c r="D420" s="273"/>
      <c r="E420" s="273"/>
      <c r="F420" s="273"/>
      <c r="G420" s="273"/>
      <c r="H420" s="347" t="str">
        <f t="shared" si="12"/>
        <v/>
      </c>
      <c r="I420" s="274" t="str">
        <f t="shared" si="13"/>
        <v/>
      </c>
      <c r="J420" s="335"/>
      <c r="K420" s="273"/>
      <c r="L420" s="348"/>
    </row>
    <row r="421" spans="2:12">
      <c r="B421" s="345"/>
      <c r="C421" s="346"/>
      <c r="D421" s="273"/>
      <c r="E421" s="273"/>
      <c r="F421" s="273"/>
      <c r="G421" s="273"/>
      <c r="H421" s="347" t="str">
        <f t="shared" si="12"/>
        <v/>
      </c>
      <c r="I421" s="274" t="str">
        <f t="shared" si="13"/>
        <v/>
      </c>
      <c r="J421" s="335"/>
      <c r="K421" s="273"/>
      <c r="L421" s="348"/>
    </row>
    <row r="422" spans="2:12">
      <c r="B422" s="345"/>
      <c r="C422" s="346"/>
      <c r="D422" s="273"/>
      <c r="E422" s="273"/>
      <c r="F422" s="273"/>
      <c r="G422" s="273"/>
      <c r="H422" s="347" t="str">
        <f t="shared" si="12"/>
        <v/>
      </c>
      <c r="I422" s="274" t="str">
        <f t="shared" si="13"/>
        <v/>
      </c>
      <c r="J422" s="335"/>
      <c r="K422" s="273"/>
      <c r="L422" s="348"/>
    </row>
    <row r="423" spans="2:12">
      <c r="B423" s="345"/>
      <c r="C423" s="346"/>
      <c r="D423" s="273"/>
      <c r="E423" s="273"/>
      <c r="F423" s="273"/>
      <c r="G423" s="273"/>
      <c r="H423" s="347" t="str">
        <f t="shared" si="12"/>
        <v/>
      </c>
      <c r="I423" s="274" t="str">
        <f t="shared" si="13"/>
        <v/>
      </c>
      <c r="J423" s="335"/>
      <c r="K423" s="273"/>
      <c r="L423" s="348"/>
    </row>
    <row r="424" spans="2:12">
      <c r="B424" s="345"/>
      <c r="C424" s="346"/>
      <c r="D424" s="273"/>
      <c r="E424" s="273"/>
      <c r="F424" s="273"/>
      <c r="G424" s="273"/>
      <c r="H424" s="347" t="str">
        <f t="shared" si="12"/>
        <v/>
      </c>
      <c r="I424" s="274" t="str">
        <f t="shared" si="13"/>
        <v/>
      </c>
      <c r="J424" s="335"/>
      <c r="K424" s="273"/>
      <c r="L424" s="348"/>
    </row>
    <row r="425" spans="2:12">
      <c r="B425" s="345"/>
      <c r="C425" s="346"/>
      <c r="D425" s="273"/>
      <c r="E425" s="273"/>
      <c r="F425" s="273"/>
      <c r="G425" s="273"/>
      <c r="H425" s="347" t="str">
        <f t="shared" si="12"/>
        <v/>
      </c>
      <c r="I425" s="274" t="str">
        <f t="shared" si="13"/>
        <v/>
      </c>
      <c r="J425" s="335"/>
      <c r="K425" s="273"/>
      <c r="L425" s="348"/>
    </row>
    <row r="426" spans="2:12">
      <c r="B426" s="345"/>
      <c r="C426" s="346"/>
      <c r="D426" s="273"/>
      <c r="E426" s="273"/>
      <c r="F426" s="273"/>
      <c r="G426" s="273"/>
      <c r="H426" s="347" t="str">
        <f t="shared" si="12"/>
        <v/>
      </c>
      <c r="I426" s="274" t="str">
        <f t="shared" si="13"/>
        <v/>
      </c>
      <c r="J426" s="335"/>
      <c r="K426" s="273"/>
      <c r="L426" s="348"/>
    </row>
    <row r="427" spans="2:12">
      <c r="B427" s="345"/>
      <c r="C427" s="346"/>
      <c r="D427" s="273"/>
      <c r="E427" s="273"/>
      <c r="F427" s="273"/>
      <c r="G427" s="273"/>
      <c r="H427" s="347" t="str">
        <f t="shared" si="12"/>
        <v/>
      </c>
      <c r="I427" s="274" t="str">
        <f t="shared" si="13"/>
        <v/>
      </c>
      <c r="J427" s="335"/>
      <c r="K427" s="273"/>
      <c r="L427" s="348"/>
    </row>
    <row r="428" spans="2:12">
      <c r="B428" s="345"/>
      <c r="C428" s="346"/>
      <c r="D428" s="273"/>
      <c r="E428" s="273"/>
      <c r="F428" s="273"/>
      <c r="G428" s="273"/>
      <c r="H428" s="347" t="str">
        <f t="shared" si="12"/>
        <v/>
      </c>
      <c r="I428" s="274" t="str">
        <f t="shared" si="13"/>
        <v/>
      </c>
      <c r="J428" s="335"/>
      <c r="K428" s="273"/>
      <c r="L428" s="348"/>
    </row>
    <row r="429" spans="2:12">
      <c r="B429" s="345"/>
      <c r="C429" s="346"/>
      <c r="D429" s="273"/>
      <c r="E429" s="273"/>
      <c r="F429" s="273"/>
      <c r="G429" s="273"/>
      <c r="H429" s="347" t="str">
        <f t="shared" si="12"/>
        <v/>
      </c>
      <c r="I429" s="274" t="str">
        <f t="shared" si="13"/>
        <v/>
      </c>
      <c r="J429" s="335"/>
      <c r="K429" s="273"/>
      <c r="L429" s="348"/>
    </row>
    <row r="430" spans="2:12">
      <c r="B430" s="345"/>
      <c r="C430" s="346"/>
      <c r="D430" s="273"/>
      <c r="E430" s="273"/>
      <c r="F430" s="273"/>
      <c r="G430" s="273"/>
      <c r="H430" s="347" t="str">
        <f t="shared" si="12"/>
        <v/>
      </c>
      <c r="I430" s="274" t="str">
        <f t="shared" si="13"/>
        <v/>
      </c>
      <c r="J430" s="335"/>
      <c r="K430" s="273"/>
      <c r="L430" s="348"/>
    </row>
    <row r="431" spans="2:12">
      <c r="B431" s="345"/>
      <c r="C431" s="346"/>
      <c r="D431" s="273"/>
      <c r="E431" s="273"/>
      <c r="F431" s="273"/>
      <c r="G431" s="273"/>
      <c r="H431" s="347" t="str">
        <f t="shared" si="12"/>
        <v/>
      </c>
      <c r="I431" s="274" t="str">
        <f t="shared" si="13"/>
        <v/>
      </c>
      <c r="J431" s="335"/>
      <c r="K431" s="273"/>
      <c r="L431" s="348"/>
    </row>
    <row r="432" spans="2:12">
      <c r="B432" s="345"/>
      <c r="C432" s="346"/>
      <c r="D432" s="273"/>
      <c r="E432" s="273"/>
      <c r="F432" s="273"/>
      <c r="G432" s="273"/>
      <c r="H432" s="347" t="str">
        <f t="shared" si="12"/>
        <v/>
      </c>
      <c r="I432" s="274" t="str">
        <f t="shared" si="13"/>
        <v/>
      </c>
      <c r="J432" s="335"/>
      <c r="K432" s="273"/>
      <c r="L432" s="348"/>
    </row>
    <row r="433" spans="2:12">
      <c r="B433" s="345"/>
      <c r="C433" s="346"/>
      <c r="D433" s="273"/>
      <c r="E433" s="273"/>
      <c r="F433" s="273"/>
      <c r="G433" s="273"/>
      <c r="H433" s="347" t="str">
        <f t="shared" si="12"/>
        <v/>
      </c>
      <c r="I433" s="274" t="str">
        <f t="shared" si="13"/>
        <v/>
      </c>
      <c r="J433" s="335"/>
      <c r="K433" s="273"/>
      <c r="L433" s="348"/>
    </row>
    <row r="434" spans="2:12">
      <c r="B434" s="345"/>
      <c r="C434" s="346"/>
      <c r="D434" s="273"/>
      <c r="E434" s="273"/>
      <c r="F434" s="273"/>
      <c r="G434" s="273"/>
      <c r="H434" s="347" t="str">
        <f t="shared" si="12"/>
        <v/>
      </c>
      <c r="I434" s="274" t="str">
        <f t="shared" si="13"/>
        <v/>
      </c>
      <c r="J434" s="335"/>
      <c r="K434" s="273"/>
      <c r="L434" s="348"/>
    </row>
    <row r="435" spans="2:12">
      <c r="B435" s="345"/>
      <c r="C435" s="346"/>
      <c r="D435" s="273"/>
      <c r="E435" s="273"/>
      <c r="F435" s="273"/>
      <c r="G435" s="273"/>
      <c r="H435" s="347" t="str">
        <f t="shared" si="12"/>
        <v/>
      </c>
      <c r="I435" s="274" t="str">
        <f t="shared" si="13"/>
        <v/>
      </c>
      <c r="J435" s="335"/>
      <c r="K435" s="273"/>
      <c r="L435" s="348"/>
    </row>
    <row r="436" spans="2:12">
      <c r="B436" s="345"/>
      <c r="C436" s="346"/>
      <c r="D436" s="273"/>
      <c r="E436" s="273"/>
      <c r="F436" s="273"/>
      <c r="G436" s="273"/>
      <c r="H436" s="347" t="str">
        <f t="shared" si="12"/>
        <v/>
      </c>
      <c r="I436" s="274" t="str">
        <f t="shared" si="13"/>
        <v/>
      </c>
      <c r="J436" s="335"/>
      <c r="K436" s="273"/>
      <c r="L436" s="348"/>
    </row>
    <row r="437" spans="2:12">
      <c r="B437" s="345"/>
      <c r="C437" s="346"/>
      <c r="D437" s="273"/>
      <c r="E437" s="273"/>
      <c r="F437" s="273"/>
      <c r="G437" s="273"/>
      <c r="H437" s="347" t="str">
        <f t="shared" si="12"/>
        <v/>
      </c>
      <c r="I437" s="274" t="str">
        <f t="shared" si="13"/>
        <v/>
      </c>
      <c r="J437" s="335"/>
      <c r="K437" s="273"/>
      <c r="L437" s="348"/>
    </row>
    <row r="438" spans="2:12">
      <c r="B438" s="345"/>
      <c r="C438" s="346"/>
      <c r="D438" s="273"/>
      <c r="E438" s="273"/>
      <c r="F438" s="273"/>
      <c r="G438" s="273"/>
      <c r="H438" s="347" t="str">
        <f t="shared" si="12"/>
        <v/>
      </c>
      <c r="I438" s="274" t="str">
        <f t="shared" si="13"/>
        <v/>
      </c>
      <c r="J438" s="335"/>
      <c r="K438" s="273"/>
      <c r="L438" s="348"/>
    </row>
    <row r="439" spans="2:12">
      <c r="B439" s="345"/>
      <c r="C439" s="346"/>
      <c r="D439" s="273"/>
      <c r="E439" s="273"/>
      <c r="F439" s="273"/>
      <c r="G439" s="273"/>
      <c r="H439" s="347" t="str">
        <f t="shared" si="12"/>
        <v/>
      </c>
      <c r="I439" s="274" t="str">
        <f t="shared" si="13"/>
        <v/>
      </c>
      <c r="J439" s="335"/>
      <c r="K439" s="273"/>
      <c r="L439" s="348"/>
    </row>
    <row r="440" spans="2:12">
      <c r="B440" s="345"/>
      <c r="C440" s="346"/>
      <c r="D440" s="273"/>
      <c r="E440" s="273"/>
      <c r="F440" s="273"/>
      <c r="G440" s="273"/>
      <c r="H440" s="347" t="str">
        <f t="shared" si="12"/>
        <v/>
      </c>
      <c r="I440" s="274" t="str">
        <f t="shared" si="13"/>
        <v/>
      </c>
      <c r="J440" s="335"/>
      <c r="K440" s="273"/>
      <c r="L440" s="348"/>
    </row>
    <row r="441" spans="2:12">
      <c r="B441" s="345"/>
      <c r="C441" s="346"/>
      <c r="D441" s="273"/>
      <c r="E441" s="273"/>
      <c r="F441" s="273"/>
      <c r="G441" s="273"/>
      <c r="H441" s="347" t="str">
        <f t="shared" si="12"/>
        <v/>
      </c>
      <c r="I441" s="274" t="str">
        <f t="shared" si="13"/>
        <v/>
      </c>
      <c r="J441" s="335"/>
      <c r="K441" s="273"/>
      <c r="L441" s="348"/>
    </row>
    <row r="442" spans="2:12">
      <c r="B442" s="345"/>
      <c r="C442" s="346"/>
      <c r="D442" s="273"/>
      <c r="E442" s="273"/>
      <c r="F442" s="273"/>
      <c r="G442" s="273"/>
      <c r="H442" s="347" t="str">
        <f t="shared" si="12"/>
        <v/>
      </c>
      <c r="I442" s="274" t="str">
        <f t="shared" si="13"/>
        <v/>
      </c>
      <c r="J442" s="335"/>
      <c r="K442" s="273"/>
      <c r="L442" s="348"/>
    </row>
    <row r="443" spans="2:12">
      <c r="B443" s="345"/>
      <c r="C443" s="346"/>
      <c r="D443" s="273"/>
      <c r="E443" s="273"/>
      <c r="F443" s="273"/>
      <c r="G443" s="273"/>
      <c r="H443" s="347" t="str">
        <f t="shared" si="12"/>
        <v/>
      </c>
      <c r="I443" s="274" t="str">
        <f t="shared" si="13"/>
        <v/>
      </c>
      <c r="J443" s="335"/>
      <c r="K443" s="273"/>
      <c r="L443" s="348"/>
    </row>
    <row r="444" spans="2:12">
      <c r="B444" s="345"/>
      <c r="C444" s="346"/>
      <c r="D444" s="273"/>
      <c r="E444" s="273"/>
      <c r="F444" s="273"/>
      <c r="G444" s="273"/>
      <c r="H444" s="347" t="str">
        <f t="shared" si="12"/>
        <v/>
      </c>
      <c r="I444" s="274" t="str">
        <f t="shared" si="13"/>
        <v/>
      </c>
      <c r="J444" s="335"/>
      <c r="K444" s="273"/>
      <c r="L444" s="348"/>
    </row>
    <row r="445" spans="2:12">
      <c r="B445" s="345"/>
      <c r="C445" s="346"/>
      <c r="D445" s="273"/>
      <c r="E445" s="273"/>
      <c r="F445" s="273"/>
      <c r="G445" s="273"/>
      <c r="H445" s="347" t="str">
        <f t="shared" si="12"/>
        <v/>
      </c>
      <c r="I445" s="274" t="str">
        <f t="shared" si="13"/>
        <v/>
      </c>
      <c r="J445" s="335"/>
      <c r="K445" s="273"/>
      <c r="L445" s="348"/>
    </row>
    <row r="446" spans="2:12">
      <c r="B446" s="345"/>
      <c r="C446" s="346"/>
      <c r="D446" s="273"/>
      <c r="E446" s="273"/>
      <c r="F446" s="273"/>
      <c r="G446" s="273"/>
      <c r="H446" s="347" t="str">
        <f t="shared" si="12"/>
        <v/>
      </c>
      <c r="I446" s="274" t="str">
        <f t="shared" si="13"/>
        <v/>
      </c>
      <c r="J446" s="335"/>
      <c r="K446" s="273"/>
      <c r="L446" s="348"/>
    </row>
    <row r="447" spans="2:12">
      <c r="B447" s="345"/>
      <c r="C447" s="346"/>
      <c r="D447" s="273"/>
      <c r="E447" s="273"/>
      <c r="F447" s="273"/>
      <c r="G447" s="273"/>
      <c r="H447" s="347" t="str">
        <f t="shared" si="12"/>
        <v/>
      </c>
      <c r="I447" s="274" t="str">
        <f t="shared" si="13"/>
        <v/>
      </c>
      <c r="J447" s="335"/>
      <c r="K447" s="273"/>
      <c r="L447" s="348"/>
    </row>
    <row r="448" spans="2:12">
      <c r="B448" s="345"/>
      <c r="C448" s="346"/>
      <c r="D448" s="273"/>
      <c r="E448" s="273"/>
      <c r="F448" s="273"/>
      <c r="G448" s="273"/>
      <c r="H448" s="347" t="str">
        <f t="shared" si="12"/>
        <v/>
      </c>
      <c r="I448" s="274" t="str">
        <f t="shared" si="13"/>
        <v/>
      </c>
      <c r="J448" s="335"/>
      <c r="K448" s="273"/>
      <c r="L448" s="348"/>
    </row>
    <row r="449" spans="2:12">
      <c r="B449" s="345"/>
      <c r="C449" s="346"/>
      <c r="D449" s="273"/>
      <c r="E449" s="273"/>
      <c r="F449" s="273"/>
      <c r="G449" s="273"/>
      <c r="H449" s="347" t="str">
        <f t="shared" si="12"/>
        <v/>
      </c>
      <c r="I449" s="274" t="str">
        <f t="shared" si="13"/>
        <v/>
      </c>
      <c r="J449" s="335"/>
      <c r="K449" s="273"/>
      <c r="L449" s="348"/>
    </row>
    <row r="450" spans="2:12">
      <c r="B450" s="345"/>
      <c r="C450" s="346"/>
      <c r="D450" s="273"/>
      <c r="E450" s="273"/>
      <c r="F450" s="273"/>
      <c r="G450" s="273"/>
      <c r="H450" s="347" t="str">
        <f t="shared" si="12"/>
        <v/>
      </c>
      <c r="I450" s="274" t="str">
        <f t="shared" si="13"/>
        <v/>
      </c>
      <c r="J450" s="335"/>
      <c r="K450" s="273"/>
      <c r="L450" s="348"/>
    </row>
    <row r="451" spans="2:12">
      <c r="B451" s="345"/>
      <c r="C451" s="346"/>
      <c r="D451" s="273"/>
      <c r="E451" s="273"/>
      <c r="F451" s="273"/>
      <c r="G451" s="273"/>
      <c r="H451" s="347" t="str">
        <f t="shared" si="12"/>
        <v/>
      </c>
      <c r="I451" s="274" t="str">
        <f t="shared" si="13"/>
        <v/>
      </c>
      <c r="J451" s="335"/>
      <c r="K451" s="273"/>
      <c r="L451" s="348"/>
    </row>
    <row r="452" spans="2:12">
      <c r="B452" s="345"/>
      <c r="C452" s="346"/>
      <c r="D452" s="273"/>
      <c r="E452" s="273"/>
      <c r="F452" s="273"/>
      <c r="G452" s="273"/>
      <c r="H452" s="347" t="str">
        <f t="shared" si="12"/>
        <v/>
      </c>
      <c r="I452" s="274" t="str">
        <f t="shared" si="13"/>
        <v/>
      </c>
      <c r="J452" s="335"/>
      <c r="K452" s="273"/>
      <c r="L452" s="348"/>
    </row>
    <row r="453" spans="2:12">
      <c r="B453" s="345"/>
      <c r="C453" s="346"/>
      <c r="D453" s="273"/>
      <c r="E453" s="273"/>
      <c r="F453" s="273"/>
      <c r="G453" s="273"/>
      <c r="H453" s="347" t="str">
        <f t="shared" si="12"/>
        <v/>
      </c>
      <c r="I453" s="274" t="str">
        <f t="shared" si="13"/>
        <v/>
      </c>
      <c r="J453" s="335"/>
      <c r="K453" s="273"/>
      <c r="L453" s="348"/>
    </row>
    <row r="454" spans="2:12">
      <c r="B454" s="345"/>
      <c r="C454" s="346"/>
      <c r="D454" s="273"/>
      <c r="E454" s="273"/>
      <c r="F454" s="273"/>
      <c r="G454" s="273"/>
      <c r="H454" s="347" t="str">
        <f t="shared" si="12"/>
        <v/>
      </c>
      <c r="I454" s="274" t="str">
        <f t="shared" si="13"/>
        <v/>
      </c>
      <c r="J454" s="335"/>
      <c r="K454" s="273"/>
      <c r="L454" s="348"/>
    </row>
    <row r="455" spans="2:12">
      <c r="B455" s="345"/>
      <c r="C455" s="346"/>
      <c r="D455" s="273"/>
      <c r="E455" s="273"/>
      <c r="F455" s="273"/>
      <c r="G455" s="273"/>
      <c r="H455" s="347" t="str">
        <f t="shared" si="12"/>
        <v/>
      </c>
      <c r="I455" s="274" t="str">
        <f t="shared" si="13"/>
        <v/>
      </c>
      <c r="J455" s="335"/>
      <c r="K455" s="273"/>
      <c r="L455" s="348"/>
    </row>
    <row r="456" spans="2:12">
      <c r="B456" s="345"/>
      <c r="C456" s="346"/>
      <c r="D456" s="273"/>
      <c r="E456" s="273"/>
      <c r="F456" s="273"/>
      <c r="G456" s="273"/>
      <c r="H456" s="347" t="str">
        <f t="shared" si="12"/>
        <v/>
      </c>
      <c r="I456" s="274" t="str">
        <f t="shared" si="13"/>
        <v/>
      </c>
      <c r="J456" s="335"/>
      <c r="K456" s="273"/>
      <c r="L456" s="348"/>
    </row>
    <row r="457" spans="2:12">
      <c r="B457" s="345"/>
      <c r="C457" s="346"/>
      <c r="D457" s="273"/>
      <c r="E457" s="273"/>
      <c r="F457" s="273"/>
      <c r="G457" s="273"/>
      <c r="H457" s="347" t="str">
        <f t="shared" si="12"/>
        <v/>
      </c>
      <c r="I457" s="274" t="str">
        <f t="shared" si="13"/>
        <v/>
      </c>
      <c r="J457" s="335"/>
      <c r="K457" s="273"/>
      <c r="L457" s="348"/>
    </row>
    <row r="458" spans="2:12">
      <c r="B458" s="345"/>
      <c r="C458" s="346"/>
      <c r="D458" s="273"/>
      <c r="E458" s="273"/>
      <c r="F458" s="273"/>
      <c r="G458" s="273"/>
      <c r="H458" s="347" t="str">
        <f t="shared" si="12"/>
        <v/>
      </c>
      <c r="I458" s="274" t="str">
        <f t="shared" si="13"/>
        <v/>
      </c>
      <c r="J458" s="335"/>
      <c r="K458" s="273"/>
      <c r="L458" s="348"/>
    </row>
    <row r="459" spans="2:12">
      <c r="B459" s="345"/>
      <c r="C459" s="346"/>
      <c r="D459" s="273"/>
      <c r="E459" s="273"/>
      <c r="F459" s="273"/>
      <c r="G459" s="273"/>
      <c r="H459" s="347" t="str">
        <f t="shared" ref="H459:H522" si="14">IF(G459="Large","NRS",IF(G459="International","FRS",IF(G459="SME - Medium","SME",IF(G459="SME - Micro","SME",IF(G459="SME - Small","SME","")))))</f>
        <v/>
      </c>
      <c r="I459" s="274" t="str">
        <f t="shared" ref="I459:I522" si="15">IF(H459="FRS","No","")</f>
        <v/>
      </c>
      <c r="J459" s="335"/>
      <c r="K459" s="273"/>
      <c r="L459" s="348"/>
    </row>
    <row r="460" spans="2:12">
      <c r="B460" s="345"/>
      <c r="C460" s="346"/>
      <c r="D460" s="273"/>
      <c r="E460" s="273"/>
      <c r="F460" s="273"/>
      <c r="G460" s="273"/>
      <c r="H460" s="347" t="str">
        <f t="shared" si="14"/>
        <v/>
      </c>
      <c r="I460" s="274" t="str">
        <f t="shared" si="15"/>
        <v/>
      </c>
      <c r="J460" s="335"/>
      <c r="K460" s="273"/>
      <c r="L460" s="348"/>
    </row>
    <row r="461" spans="2:12">
      <c r="B461" s="345"/>
      <c r="C461" s="346"/>
      <c r="D461" s="273"/>
      <c r="E461" s="273"/>
      <c r="F461" s="273"/>
      <c r="G461" s="273"/>
      <c r="H461" s="347" t="str">
        <f t="shared" si="14"/>
        <v/>
      </c>
      <c r="I461" s="274" t="str">
        <f t="shared" si="15"/>
        <v/>
      </c>
      <c r="J461" s="335"/>
      <c r="K461" s="273"/>
      <c r="L461" s="348"/>
    </row>
    <row r="462" spans="2:12">
      <c r="B462" s="345"/>
      <c r="C462" s="346"/>
      <c r="D462" s="273"/>
      <c r="E462" s="273"/>
      <c r="F462" s="273"/>
      <c r="G462" s="273"/>
      <c r="H462" s="347" t="str">
        <f t="shared" si="14"/>
        <v/>
      </c>
      <c r="I462" s="274" t="str">
        <f t="shared" si="15"/>
        <v/>
      </c>
      <c r="J462" s="335"/>
      <c r="K462" s="273"/>
      <c r="L462" s="348"/>
    </row>
    <row r="463" spans="2:12">
      <c r="B463" s="345"/>
      <c r="C463" s="346"/>
      <c r="D463" s="273"/>
      <c r="E463" s="273"/>
      <c r="F463" s="273"/>
      <c r="G463" s="273"/>
      <c r="H463" s="347" t="str">
        <f t="shared" si="14"/>
        <v/>
      </c>
      <c r="I463" s="274" t="str">
        <f t="shared" si="15"/>
        <v/>
      </c>
      <c r="J463" s="335"/>
      <c r="K463" s="273"/>
      <c r="L463" s="348"/>
    </row>
    <row r="464" spans="2:12">
      <c r="B464" s="345"/>
      <c r="C464" s="346"/>
      <c r="D464" s="273"/>
      <c r="E464" s="273"/>
      <c r="F464" s="273"/>
      <c r="G464" s="273"/>
      <c r="H464" s="347" t="str">
        <f t="shared" si="14"/>
        <v/>
      </c>
      <c r="I464" s="274" t="str">
        <f t="shared" si="15"/>
        <v/>
      </c>
      <c r="J464" s="335"/>
      <c r="K464" s="273"/>
      <c r="L464" s="348"/>
    </row>
    <row r="465" spans="2:12">
      <c r="B465" s="345"/>
      <c r="C465" s="346"/>
      <c r="D465" s="273"/>
      <c r="E465" s="273"/>
      <c r="F465" s="273"/>
      <c r="G465" s="273"/>
      <c r="H465" s="347" t="str">
        <f t="shared" si="14"/>
        <v/>
      </c>
      <c r="I465" s="274" t="str">
        <f t="shared" si="15"/>
        <v/>
      </c>
      <c r="J465" s="335"/>
      <c r="K465" s="273"/>
      <c r="L465" s="348"/>
    </row>
    <row r="466" spans="2:12">
      <c r="B466" s="345"/>
      <c r="C466" s="346"/>
      <c r="D466" s="273"/>
      <c r="E466" s="273"/>
      <c r="F466" s="273"/>
      <c r="G466" s="273"/>
      <c r="H466" s="347" t="str">
        <f t="shared" si="14"/>
        <v/>
      </c>
      <c r="I466" s="274" t="str">
        <f t="shared" si="15"/>
        <v/>
      </c>
      <c r="J466" s="335"/>
      <c r="K466" s="273"/>
      <c r="L466" s="348"/>
    </row>
    <row r="467" spans="2:12">
      <c r="B467" s="345"/>
      <c r="C467" s="346"/>
      <c r="D467" s="273"/>
      <c r="E467" s="273"/>
      <c r="F467" s="273"/>
      <c r="G467" s="273"/>
      <c r="H467" s="347" t="str">
        <f t="shared" si="14"/>
        <v/>
      </c>
      <c r="I467" s="274" t="str">
        <f t="shared" si="15"/>
        <v/>
      </c>
      <c r="J467" s="335"/>
      <c r="K467" s="273"/>
      <c r="L467" s="348"/>
    </row>
    <row r="468" spans="2:12">
      <c r="B468" s="345"/>
      <c r="C468" s="346"/>
      <c r="D468" s="273"/>
      <c r="E468" s="273"/>
      <c r="F468" s="273"/>
      <c r="G468" s="273"/>
      <c r="H468" s="347" t="str">
        <f t="shared" si="14"/>
        <v/>
      </c>
      <c r="I468" s="274" t="str">
        <f t="shared" si="15"/>
        <v/>
      </c>
      <c r="J468" s="335"/>
      <c r="K468" s="273"/>
      <c r="L468" s="348"/>
    </row>
    <row r="469" spans="2:12">
      <c r="B469" s="345"/>
      <c r="C469" s="346"/>
      <c r="D469" s="273"/>
      <c r="E469" s="273"/>
      <c r="F469" s="273"/>
      <c r="G469" s="273"/>
      <c r="H469" s="347" t="str">
        <f t="shared" si="14"/>
        <v/>
      </c>
      <c r="I469" s="274" t="str">
        <f t="shared" si="15"/>
        <v/>
      </c>
      <c r="J469" s="335"/>
      <c r="K469" s="273"/>
      <c r="L469" s="348"/>
    </row>
    <row r="470" spans="2:12">
      <c r="B470" s="345"/>
      <c r="C470" s="346"/>
      <c r="D470" s="273"/>
      <c r="E470" s="273"/>
      <c r="F470" s="273"/>
      <c r="G470" s="273"/>
      <c r="H470" s="347" t="str">
        <f t="shared" si="14"/>
        <v/>
      </c>
      <c r="I470" s="274" t="str">
        <f t="shared" si="15"/>
        <v/>
      </c>
      <c r="J470" s="335"/>
      <c r="K470" s="273"/>
      <c r="L470" s="348"/>
    </row>
    <row r="471" spans="2:12">
      <c r="B471" s="345"/>
      <c r="C471" s="346"/>
      <c r="D471" s="273"/>
      <c r="E471" s="273"/>
      <c r="F471" s="273"/>
      <c r="G471" s="273"/>
      <c r="H471" s="347" t="str">
        <f t="shared" si="14"/>
        <v/>
      </c>
      <c r="I471" s="274" t="str">
        <f t="shared" si="15"/>
        <v/>
      </c>
      <c r="J471" s="335"/>
      <c r="K471" s="273"/>
      <c r="L471" s="348"/>
    </row>
    <row r="472" spans="2:12">
      <c r="B472" s="345"/>
      <c r="C472" s="346"/>
      <c r="D472" s="273"/>
      <c r="E472" s="273"/>
      <c r="F472" s="273"/>
      <c r="G472" s="273"/>
      <c r="H472" s="347" t="str">
        <f t="shared" si="14"/>
        <v/>
      </c>
      <c r="I472" s="274" t="str">
        <f t="shared" si="15"/>
        <v/>
      </c>
      <c r="J472" s="335"/>
      <c r="K472" s="273"/>
      <c r="L472" s="348"/>
    </row>
    <row r="473" spans="2:12">
      <c r="B473" s="345"/>
      <c r="C473" s="346"/>
      <c r="D473" s="273"/>
      <c r="E473" s="273"/>
      <c r="F473" s="273"/>
      <c r="G473" s="273"/>
      <c r="H473" s="347" t="str">
        <f t="shared" si="14"/>
        <v/>
      </c>
      <c r="I473" s="274" t="str">
        <f t="shared" si="15"/>
        <v/>
      </c>
      <c r="J473" s="335"/>
      <c r="K473" s="273"/>
      <c r="L473" s="348"/>
    </row>
    <row r="474" spans="2:12">
      <c r="B474" s="345"/>
      <c r="C474" s="346"/>
      <c r="D474" s="273"/>
      <c r="E474" s="273"/>
      <c r="F474" s="273"/>
      <c r="G474" s="273"/>
      <c r="H474" s="347" t="str">
        <f t="shared" si="14"/>
        <v/>
      </c>
      <c r="I474" s="274" t="str">
        <f t="shared" si="15"/>
        <v/>
      </c>
      <c r="J474" s="335"/>
      <c r="K474" s="273"/>
      <c r="L474" s="348"/>
    </row>
    <row r="475" spans="2:12">
      <c r="B475" s="345"/>
      <c r="C475" s="346"/>
      <c r="D475" s="273"/>
      <c r="E475" s="273"/>
      <c r="F475" s="273"/>
      <c r="G475" s="273"/>
      <c r="H475" s="347" t="str">
        <f t="shared" si="14"/>
        <v/>
      </c>
      <c r="I475" s="274" t="str">
        <f t="shared" si="15"/>
        <v/>
      </c>
      <c r="J475" s="335"/>
      <c r="K475" s="273"/>
      <c r="L475" s="348"/>
    </row>
    <row r="476" spans="2:12">
      <c r="B476" s="345"/>
      <c r="C476" s="346"/>
      <c r="D476" s="273"/>
      <c r="E476" s="273"/>
      <c r="F476" s="273"/>
      <c r="G476" s="273"/>
      <c r="H476" s="347" t="str">
        <f t="shared" si="14"/>
        <v/>
      </c>
      <c r="I476" s="274" t="str">
        <f t="shared" si="15"/>
        <v/>
      </c>
      <c r="J476" s="335"/>
      <c r="K476" s="273"/>
      <c r="L476" s="348"/>
    </row>
    <row r="477" spans="2:12">
      <c r="B477" s="345"/>
      <c r="C477" s="346"/>
      <c r="D477" s="273"/>
      <c r="E477" s="273"/>
      <c r="F477" s="273"/>
      <c r="G477" s="273"/>
      <c r="H477" s="347" t="str">
        <f t="shared" si="14"/>
        <v/>
      </c>
      <c r="I477" s="274" t="str">
        <f t="shared" si="15"/>
        <v/>
      </c>
      <c r="J477" s="335"/>
      <c r="K477" s="273"/>
      <c r="L477" s="348"/>
    </row>
    <row r="478" spans="2:12">
      <c r="B478" s="345"/>
      <c r="C478" s="346"/>
      <c r="D478" s="273"/>
      <c r="E478" s="273"/>
      <c r="F478" s="273"/>
      <c r="G478" s="273"/>
      <c r="H478" s="347" t="str">
        <f t="shared" si="14"/>
        <v/>
      </c>
      <c r="I478" s="274" t="str">
        <f t="shared" si="15"/>
        <v/>
      </c>
      <c r="J478" s="335"/>
      <c r="K478" s="273"/>
      <c r="L478" s="348"/>
    </row>
    <row r="479" spans="2:12">
      <c r="B479" s="345"/>
      <c r="C479" s="346"/>
      <c r="D479" s="273"/>
      <c r="E479" s="273"/>
      <c r="F479" s="273"/>
      <c r="G479" s="273"/>
      <c r="H479" s="347" t="str">
        <f t="shared" si="14"/>
        <v/>
      </c>
      <c r="I479" s="274" t="str">
        <f t="shared" si="15"/>
        <v/>
      </c>
      <c r="J479" s="335"/>
      <c r="K479" s="273"/>
      <c r="L479" s="348"/>
    </row>
    <row r="480" spans="2:12">
      <c r="B480" s="345"/>
      <c r="C480" s="346"/>
      <c r="D480" s="273"/>
      <c r="E480" s="273"/>
      <c r="F480" s="273"/>
      <c r="G480" s="273"/>
      <c r="H480" s="347" t="str">
        <f t="shared" si="14"/>
        <v/>
      </c>
      <c r="I480" s="274" t="str">
        <f t="shared" si="15"/>
        <v/>
      </c>
      <c r="J480" s="335"/>
      <c r="K480" s="273"/>
      <c r="L480" s="348"/>
    </row>
    <row r="481" spans="2:12">
      <c r="B481" s="345"/>
      <c r="C481" s="346"/>
      <c r="D481" s="273"/>
      <c r="E481" s="273"/>
      <c r="F481" s="273"/>
      <c r="G481" s="273"/>
      <c r="H481" s="347" t="str">
        <f t="shared" si="14"/>
        <v/>
      </c>
      <c r="I481" s="274" t="str">
        <f t="shared" si="15"/>
        <v/>
      </c>
      <c r="J481" s="335"/>
      <c r="K481" s="273"/>
      <c r="L481" s="348"/>
    </row>
    <row r="482" spans="2:12">
      <c r="B482" s="345"/>
      <c r="C482" s="346"/>
      <c r="D482" s="273"/>
      <c r="E482" s="273"/>
      <c r="F482" s="273"/>
      <c r="G482" s="273"/>
      <c r="H482" s="347" t="str">
        <f t="shared" si="14"/>
        <v/>
      </c>
      <c r="I482" s="274" t="str">
        <f t="shared" si="15"/>
        <v/>
      </c>
      <c r="J482" s="335"/>
      <c r="K482" s="273"/>
      <c r="L482" s="348"/>
    </row>
    <row r="483" spans="2:12">
      <c r="B483" s="345"/>
      <c r="C483" s="346"/>
      <c r="D483" s="273"/>
      <c r="E483" s="273"/>
      <c r="F483" s="273"/>
      <c r="G483" s="273"/>
      <c r="H483" s="347" t="str">
        <f t="shared" si="14"/>
        <v/>
      </c>
      <c r="I483" s="274" t="str">
        <f t="shared" si="15"/>
        <v/>
      </c>
      <c r="J483" s="335"/>
      <c r="K483" s="273"/>
      <c r="L483" s="348"/>
    </row>
    <row r="484" spans="2:12">
      <c r="B484" s="345"/>
      <c r="C484" s="346"/>
      <c r="D484" s="273"/>
      <c r="E484" s="273"/>
      <c r="F484" s="273"/>
      <c r="G484" s="273"/>
      <c r="H484" s="347" t="str">
        <f t="shared" si="14"/>
        <v/>
      </c>
      <c r="I484" s="274" t="str">
        <f t="shared" si="15"/>
        <v/>
      </c>
      <c r="J484" s="335"/>
      <c r="K484" s="273"/>
      <c r="L484" s="348"/>
    </row>
    <row r="485" spans="2:12">
      <c r="B485" s="345"/>
      <c r="C485" s="346"/>
      <c r="D485" s="273"/>
      <c r="E485" s="273"/>
      <c r="F485" s="273"/>
      <c r="G485" s="273"/>
      <c r="H485" s="347" t="str">
        <f t="shared" si="14"/>
        <v/>
      </c>
      <c r="I485" s="274" t="str">
        <f t="shared" si="15"/>
        <v/>
      </c>
      <c r="J485" s="335"/>
      <c r="K485" s="273"/>
      <c r="L485" s="348"/>
    </row>
    <row r="486" spans="2:12">
      <c r="B486" s="345"/>
      <c r="C486" s="346"/>
      <c r="D486" s="273"/>
      <c r="E486" s="273"/>
      <c r="F486" s="273"/>
      <c r="G486" s="273"/>
      <c r="H486" s="347" t="str">
        <f t="shared" si="14"/>
        <v/>
      </c>
      <c r="I486" s="274" t="str">
        <f t="shared" si="15"/>
        <v/>
      </c>
      <c r="J486" s="335"/>
      <c r="K486" s="273"/>
      <c r="L486" s="348"/>
    </row>
    <row r="487" spans="2:12">
      <c r="B487" s="345"/>
      <c r="C487" s="346"/>
      <c r="D487" s="273"/>
      <c r="E487" s="273"/>
      <c r="F487" s="273"/>
      <c r="G487" s="273"/>
      <c r="H487" s="347" t="str">
        <f t="shared" si="14"/>
        <v/>
      </c>
      <c r="I487" s="274" t="str">
        <f t="shared" si="15"/>
        <v/>
      </c>
      <c r="J487" s="335"/>
      <c r="K487" s="273"/>
      <c r="L487" s="348"/>
    </row>
    <row r="488" spans="2:12">
      <c r="B488" s="345"/>
      <c r="C488" s="346"/>
      <c r="D488" s="273"/>
      <c r="E488" s="273"/>
      <c r="F488" s="273"/>
      <c r="G488" s="273"/>
      <c r="H488" s="347" t="str">
        <f t="shared" si="14"/>
        <v/>
      </c>
      <c r="I488" s="274" t="str">
        <f t="shared" si="15"/>
        <v/>
      </c>
      <c r="J488" s="335"/>
      <c r="K488" s="273"/>
      <c r="L488" s="348"/>
    </row>
    <row r="489" spans="2:12">
      <c r="B489" s="345"/>
      <c r="C489" s="346"/>
      <c r="D489" s="273"/>
      <c r="E489" s="273"/>
      <c r="F489" s="273"/>
      <c r="G489" s="273"/>
      <c r="H489" s="347" t="str">
        <f t="shared" si="14"/>
        <v/>
      </c>
      <c r="I489" s="274" t="str">
        <f t="shared" si="15"/>
        <v/>
      </c>
      <c r="J489" s="335"/>
      <c r="K489" s="273"/>
      <c r="L489" s="348"/>
    </row>
    <row r="490" spans="2:12">
      <c r="B490" s="345"/>
      <c r="C490" s="346"/>
      <c r="D490" s="273"/>
      <c r="E490" s="273"/>
      <c r="F490" s="273"/>
      <c r="G490" s="273"/>
      <c r="H490" s="347" t="str">
        <f t="shared" si="14"/>
        <v/>
      </c>
      <c r="I490" s="274" t="str">
        <f t="shared" si="15"/>
        <v/>
      </c>
      <c r="J490" s="335"/>
      <c r="K490" s="273"/>
      <c r="L490" s="348"/>
    </row>
    <row r="491" spans="2:12">
      <c r="B491" s="345"/>
      <c r="C491" s="346"/>
      <c r="D491" s="273"/>
      <c r="E491" s="273"/>
      <c r="F491" s="273"/>
      <c r="G491" s="273"/>
      <c r="H491" s="347" t="str">
        <f t="shared" si="14"/>
        <v/>
      </c>
      <c r="I491" s="274" t="str">
        <f t="shared" si="15"/>
        <v/>
      </c>
      <c r="J491" s="335"/>
      <c r="K491" s="273"/>
      <c r="L491" s="348"/>
    </row>
    <row r="492" spans="2:12">
      <c r="B492" s="345"/>
      <c r="C492" s="346"/>
      <c r="D492" s="273"/>
      <c r="E492" s="273"/>
      <c r="F492" s="273"/>
      <c r="G492" s="273"/>
      <c r="H492" s="347" t="str">
        <f t="shared" si="14"/>
        <v/>
      </c>
      <c r="I492" s="274" t="str">
        <f t="shared" si="15"/>
        <v/>
      </c>
      <c r="J492" s="335"/>
      <c r="K492" s="273"/>
      <c r="L492" s="348"/>
    </row>
    <row r="493" spans="2:12">
      <c r="B493" s="345"/>
      <c r="C493" s="346"/>
      <c r="D493" s="273"/>
      <c r="E493" s="273"/>
      <c r="F493" s="273"/>
      <c r="G493" s="273"/>
      <c r="H493" s="347" t="str">
        <f t="shared" si="14"/>
        <v/>
      </c>
      <c r="I493" s="274" t="str">
        <f t="shared" si="15"/>
        <v/>
      </c>
      <c r="J493" s="335"/>
      <c r="K493" s="273"/>
      <c r="L493" s="348"/>
    </row>
    <row r="494" spans="2:12">
      <c r="B494" s="345"/>
      <c r="C494" s="346"/>
      <c r="D494" s="273"/>
      <c r="E494" s="273"/>
      <c r="F494" s="273"/>
      <c r="G494" s="273"/>
      <c r="H494" s="347" t="str">
        <f t="shared" si="14"/>
        <v/>
      </c>
      <c r="I494" s="274" t="str">
        <f t="shared" si="15"/>
        <v/>
      </c>
      <c r="J494" s="335"/>
      <c r="K494" s="273"/>
      <c r="L494" s="348"/>
    </row>
    <row r="495" spans="2:12">
      <c r="B495" s="345"/>
      <c r="C495" s="346"/>
      <c r="D495" s="273"/>
      <c r="E495" s="273"/>
      <c r="F495" s="273"/>
      <c r="G495" s="273"/>
      <c r="H495" s="347" t="str">
        <f t="shared" si="14"/>
        <v/>
      </c>
      <c r="I495" s="274" t="str">
        <f t="shared" si="15"/>
        <v/>
      </c>
      <c r="J495" s="335"/>
      <c r="K495" s="273"/>
      <c r="L495" s="348"/>
    </row>
    <row r="496" spans="2:12">
      <c r="B496" s="345"/>
      <c r="C496" s="346"/>
      <c r="D496" s="273"/>
      <c r="E496" s="273"/>
      <c r="F496" s="273"/>
      <c r="G496" s="273"/>
      <c r="H496" s="347" t="str">
        <f t="shared" si="14"/>
        <v/>
      </c>
      <c r="I496" s="274" t="str">
        <f t="shared" si="15"/>
        <v/>
      </c>
      <c r="J496" s="335"/>
      <c r="K496" s="273"/>
      <c r="L496" s="348"/>
    </row>
    <row r="497" spans="2:12">
      <c r="B497" s="345"/>
      <c r="C497" s="346"/>
      <c r="D497" s="273"/>
      <c r="E497" s="273"/>
      <c r="F497" s="273"/>
      <c r="G497" s="273"/>
      <c r="H497" s="347" t="str">
        <f t="shared" si="14"/>
        <v/>
      </c>
      <c r="I497" s="274" t="str">
        <f t="shared" si="15"/>
        <v/>
      </c>
      <c r="J497" s="335"/>
      <c r="K497" s="273"/>
      <c r="L497" s="348"/>
    </row>
    <row r="498" spans="2:12">
      <c r="B498" s="345"/>
      <c r="C498" s="346"/>
      <c r="D498" s="273"/>
      <c r="E498" s="273"/>
      <c r="F498" s="273"/>
      <c r="G498" s="273"/>
      <c r="H498" s="347" t="str">
        <f t="shared" si="14"/>
        <v/>
      </c>
      <c r="I498" s="274" t="str">
        <f t="shared" si="15"/>
        <v/>
      </c>
      <c r="J498" s="335"/>
      <c r="K498" s="273"/>
      <c r="L498" s="348"/>
    </row>
    <row r="499" spans="2:12">
      <c r="B499" s="345"/>
      <c r="C499" s="346"/>
      <c r="D499" s="273"/>
      <c r="E499" s="273"/>
      <c r="F499" s="273"/>
      <c r="G499" s="273"/>
      <c r="H499" s="347" t="str">
        <f t="shared" si="14"/>
        <v/>
      </c>
      <c r="I499" s="274" t="str">
        <f t="shared" si="15"/>
        <v/>
      </c>
      <c r="J499" s="335"/>
      <c r="K499" s="273"/>
      <c r="L499" s="348"/>
    </row>
    <row r="500" spans="2:12">
      <c r="B500" s="345"/>
      <c r="C500" s="346"/>
      <c r="D500" s="273"/>
      <c r="E500" s="273"/>
      <c r="F500" s="273"/>
      <c r="G500" s="273"/>
      <c r="H500" s="347" t="str">
        <f t="shared" si="14"/>
        <v/>
      </c>
      <c r="I500" s="274" t="str">
        <f t="shared" si="15"/>
        <v/>
      </c>
      <c r="J500" s="335"/>
      <c r="K500" s="273"/>
      <c r="L500" s="348"/>
    </row>
    <row r="501" spans="2:12">
      <c r="B501" s="345"/>
      <c r="C501" s="346"/>
      <c r="D501" s="273"/>
      <c r="E501" s="273"/>
      <c r="F501" s="273"/>
      <c r="G501" s="273"/>
      <c r="H501" s="347" t="str">
        <f t="shared" si="14"/>
        <v/>
      </c>
      <c r="I501" s="274" t="str">
        <f t="shared" si="15"/>
        <v/>
      </c>
      <c r="J501" s="335"/>
      <c r="K501" s="273"/>
      <c r="L501" s="348"/>
    </row>
    <row r="502" spans="2:12">
      <c r="B502" s="345"/>
      <c r="C502" s="346"/>
      <c r="D502" s="273"/>
      <c r="E502" s="273"/>
      <c r="F502" s="273"/>
      <c r="G502" s="273"/>
      <c r="H502" s="347" t="str">
        <f t="shared" si="14"/>
        <v/>
      </c>
      <c r="I502" s="274" t="str">
        <f t="shared" si="15"/>
        <v/>
      </c>
      <c r="J502" s="335"/>
      <c r="K502" s="273"/>
      <c r="L502" s="348"/>
    </row>
    <row r="503" spans="2:12">
      <c r="B503" s="345"/>
      <c r="C503" s="346"/>
      <c r="D503" s="273"/>
      <c r="E503" s="273"/>
      <c r="F503" s="273"/>
      <c r="G503" s="273"/>
      <c r="H503" s="347" t="str">
        <f t="shared" si="14"/>
        <v/>
      </c>
      <c r="I503" s="274" t="str">
        <f t="shared" si="15"/>
        <v/>
      </c>
      <c r="J503" s="335"/>
      <c r="K503" s="273"/>
      <c r="L503" s="348"/>
    </row>
    <row r="504" spans="2:12">
      <c r="B504" s="345"/>
      <c r="C504" s="346"/>
      <c r="D504" s="273"/>
      <c r="E504" s="273"/>
      <c r="F504" s="273"/>
      <c r="G504" s="273"/>
      <c r="H504" s="347" t="str">
        <f t="shared" si="14"/>
        <v/>
      </c>
      <c r="I504" s="274" t="str">
        <f t="shared" si="15"/>
        <v/>
      </c>
      <c r="J504" s="335"/>
      <c r="K504" s="273"/>
      <c r="L504" s="348"/>
    </row>
    <row r="505" spans="2:12">
      <c r="B505" s="345"/>
      <c r="C505" s="346"/>
      <c r="D505" s="273"/>
      <c r="E505" s="273"/>
      <c r="F505" s="273"/>
      <c r="G505" s="273"/>
      <c r="H505" s="347" t="str">
        <f t="shared" si="14"/>
        <v/>
      </c>
      <c r="I505" s="274" t="str">
        <f t="shared" si="15"/>
        <v/>
      </c>
      <c r="J505" s="335"/>
      <c r="K505" s="273"/>
      <c r="L505" s="348"/>
    </row>
    <row r="506" spans="2:12">
      <c r="B506" s="345"/>
      <c r="C506" s="346"/>
      <c r="D506" s="273"/>
      <c r="E506" s="273"/>
      <c r="F506" s="273"/>
      <c r="G506" s="273"/>
      <c r="H506" s="347" t="str">
        <f t="shared" si="14"/>
        <v/>
      </c>
      <c r="I506" s="274" t="str">
        <f t="shared" si="15"/>
        <v/>
      </c>
      <c r="J506" s="335"/>
      <c r="K506" s="273"/>
      <c r="L506" s="348"/>
    </row>
    <row r="507" spans="2:12">
      <c r="B507" s="345"/>
      <c r="C507" s="346"/>
      <c r="D507" s="273"/>
      <c r="E507" s="273"/>
      <c r="F507" s="273"/>
      <c r="G507" s="273"/>
      <c r="H507" s="347" t="str">
        <f t="shared" si="14"/>
        <v/>
      </c>
      <c r="I507" s="274" t="str">
        <f t="shared" si="15"/>
        <v/>
      </c>
      <c r="J507" s="335"/>
      <c r="K507" s="273"/>
      <c r="L507" s="348"/>
    </row>
    <row r="508" spans="2:12">
      <c r="B508" s="345"/>
      <c r="C508" s="346"/>
      <c r="D508" s="273"/>
      <c r="E508" s="273"/>
      <c r="F508" s="273"/>
      <c r="G508" s="273"/>
      <c r="H508" s="347" t="str">
        <f t="shared" si="14"/>
        <v/>
      </c>
      <c r="I508" s="274" t="str">
        <f t="shared" si="15"/>
        <v/>
      </c>
      <c r="J508" s="335"/>
      <c r="K508" s="273"/>
      <c r="L508" s="348"/>
    </row>
    <row r="509" spans="2:12">
      <c r="B509" s="345"/>
      <c r="C509" s="346"/>
      <c r="D509" s="273"/>
      <c r="E509" s="273"/>
      <c r="F509" s="273"/>
      <c r="G509" s="273"/>
      <c r="H509" s="347" t="str">
        <f t="shared" si="14"/>
        <v/>
      </c>
      <c r="I509" s="274" t="str">
        <f t="shared" si="15"/>
        <v/>
      </c>
      <c r="J509" s="335"/>
      <c r="K509" s="273"/>
      <c r="L509" s="348"/>
    </row>
    <row r="510" spans="2:12">
      <c r="B510" s="345"/>
      <c r="C510" s="346"/>
      <c r="D510" s="273"/>
      <c r="E510" s="273"/>
      <c r="F510" s="273"/>
      <c r="G510" s="273"/>
      <c r="H510" s="347" t="str">
        <f t="shared" si="14"/>
        <v/>
      </c>
      <c r="I510" s="274" t="str">
        <f t="shared" si="15"/>
        <v/>
      </c>
      <c r="J510" s="335"/>
      <c r="K510" s="273"/>
      <c r="L510" s="348"/>
    </row>
    <row r="511" spans="2:12">
      <c r="B511" s="345"/>
      <c r="C511" s="346"/>
      <c r="D511" s="273"/>
      <c r="E511" s="273"/>
      <c r="F511" s="273"/>
      <c r="G511" s="273"/>
      <c r="H511" s="347" t="str">
        <f t="shared" si="14"/>
        <v/>
      </c>
      <c r="I511" s="274" t="str">
        <f t="shared" si="15"/>
        <v/>
      </c>
      <c r="J511" s="335"/>
      <c r="K511" s="273"/>
      <c r="L511" s="348"/>
    </row>
    <row r="512" spans="2:12">
      <c r="B512" s="345"/>
      <c r="C512" s="346"/>
      <c r="D512" s="273"/>
      <c r="E512" s="273"/>
      <c r="F512" s="273"/>
      <c r="G512" s="273"/>
      <c r="H512" s="347" t="str">
        <f t="shared" si="14"/>
        <v/>
      </c>
      <c r="I512" s="274" t="str">
        <f t="shared" si="15"/>
        <v/>
      </c>
      <c r="J512" s="335"/>
      <c r="K512" s="273"/>
      <c r="L512" s="348"/>
    </row>
    <row r="513" spans="2:12">
      <c r="B513" s="345"/>
      <c r="C513" s="346"/>
      <c r="D513" s="273"/>
      <c r="E513" s="273"/>
      <c r="F513" s="273"/>
      <c r="G513" s="273"/>
      <c r="H513" s="347" t="str">
        <f t="shared" si="14"/>
        <v/>
      </c>
      <c r="I513" s="274" t="str">
        <f t="shared" si="15"/>
        <v/>
      </c>
      <c r="J513" s="335"/>
      <c r="K513" s="273"/>
      <c r="L513" s="348"/>
    </row>
    <row r="514" spans="2:12">
      <c r="B514" s="345"/>
      <c r="C514" s="346"/>
      <c r="D514" s="273"/>
      <c r="E514" s="273"/>
      <c r="F514" s="273"/>
      <c r="G514" s="273"/>
      <c r="H514" s="347" t="str">
        <f t="shared" si="14"/>
        <v/>
      </c>
      <c r="I514" s="274" t="str">
        <f t="shared" si="15"/>
        <v/>
      </c>
      <c r="J514" s="335"/>
      <c r="K514" s="273"/>
      <c r="L514" s="348"/>
    </row>
    <row r="515" spans="2:12">
      <c r="B515" s="345"/>
      <c r="C515" s="346"/>
      <c r="D515" s="273"/>
      <c r="E515" s="273"/>
      <c r="F515" s="273"/>
      <c r="G515" s="273"/>
      <c r="H515" s="347" t="str">
        <f t="shared" si="14"/>
        <v/>
      </c>
      <c r="I515" s="274" t="str">
        <f t="shared" si="15"/>
        <v/>
      </c>
      <c r="J515" s="335"/>
      <c r="K515" s="273"/>
      <c r="L515" s="348"/>
    </row>
    <row r="516" spans="2:12">
      <c r="B516" s="345"/>
      <c r="C516" s="346"/>
      <c r="D516" s="273"/>
      <c r="E516" s="273"/>
      <c r="F516" s="273"/>
      <c r="G516" s="273"/>
      <c r="H516" s="347" t="str">
        <f t="shared" si="14"/>
        <v/>
      </c>
      <c r="I516" s="274" t="str">
        <f t="shared" si="15"/>
        <v/>
      </c>
      <c r="J516" s="335"/>
      <c r="K516" s="273"/>
      <c r="L516" s="348"/>
    </row>
    <row r="517" spans="2:12">
      <c r="B517" s="345"/>
      <c r="C517" s="346"/>
      <c r="D517" s="273"/>
      <c r="E517" s="273"/>
      <c r="F517" s="273"/>
      <c r="G517" s="273"/>
      <c r="H517" s="347" t="str">
        <f t="shared" si="14"/>
        <v/>
      </c>
      <c r="I517" s="274" t="str">
        <f t="shared" si="15"/>
        <v/>
      </c>
      <c r="J517" s="335"/>
      <c r="K517" s="273"/>
      <c r="L517" s="348"/>
    </row>
    <row r="518" spans="2:12">
      <c r="B518" s="345"/>
      <c r="C518" s="346"/>
      <c r="D518" s="273"/>
      <c r="E518" s="273"/>
      <c r="F518" s="273"/>
      <c r="G518" s="273"/>
      <c r="H518" s="347" t="str">
        <f t="shared" si="14"/>
        <v/>
      </c>
      <c r="I518" s="274" t="str">
        <f t="shared" si="15"/>
        <v/>
      </c>
      <c r="J518" s="335"/>
      <c r="K518" s="273"/>
      <c r="L518" s="348"/>
    </row>
    <row r="519" spans="2:12">
      <c r="B519" s="345"/>
      <c r="C519" s="346"/>
      <c r="D519" s="273"/>
      <c r="E519" s="273"/>
      <c r="F519" s="273"/>
      <c r="G519" s="273"/>
      <c r="H519" s="347" t="str">
        <f t="shared" si="14"/>
        <v/>
      </c>
      <c r="I519" s="274" t="str">
        <f t="shared" si="15"/>
        <v/>
      </c>
      <c r="J519" s="335"/>
      <c r="K519" s="273"/>
      <c r="L519" s="348"/>
    </row>
    <row r="520" spans="2:12">
      <c r="B520" s="345"/>
      <c r="C520" s="346"/>
      <c r="D520" s="273"/>
      <c r="E520" s="273"/>
      <c r="F520" s="273"/>
      <c r="G520" s="273"/>
      <c r="H520" s="347" t="str">
        <f t="shared" si="14"/>
        <v/>
      </c>
      <c r="I520" s="274" t="str">
        <f t="shared" si="15"/>
        <v/>
      </c>
      <c r="J520" s="335"/>
      <c r="K520" s="273"/>
      <c r="L520" s="348"/>
    </row>
    <row r="521" spans="2:12">
      <c r="B521" s="345"/>
      <c r="C521" s="346"/>
      <c r="D521" s="273"/>
      <c r="E521" s="273"/>
      <c r="F521" s="273"/>
      <c r="G521" s="273"/>
      <c r="H521" s="347" t="str">
        <f t="shared" si="14"/>
        <v/>
      </c>
      <c r="I521" s="274" t="str">
        <f t="shared" si="15"/>
        <v/>
      </c>
      <c r="J521" s="335"/>
      <c r="K521" s="273"/>
      <c r="L521" s="348"/>
    </row>
    <row r="522" spans="2:12">
      <c r="B522" s="345"/>
      <c r="C522" s="346"/>
      <c r="D522" s="273"/>
      <c r="E522" s="273"/>
      <c r="F522" s="273"/>
      <c r="G522" s="273"/>
      <c r="H522" s="347" t="str">
        <f t="shared" si="14"/>
        <v/>
      </c>
      <c r="I522" s="274" t="str">
        <f t="shared" si="15"/>
        <v/>
      </c>
      <c r="J522" s="335"/>
      <c r="K522" s="273"/>
      <c r="L522" s="348"/>
    </row>
    <row r="523" spans="2:12">
      <c r="B523" s="345"/>
      <c r="C523" s="346"/>
      <c r="D523" s="273"/>
      <c r="E523" s="273"/>
      <c r="F523" s="273"/>
      <c r="G523" s="273"/>
      <c r="H523" s="347" t="str">
        <f t="shared" ref="H523:H586" si="16">IF(G523="Large","NRS",IF(G523="International","FRS",IF(G523="SME - Medium","SME",IF(G523="SME - Micro","SME",IF(G523="SME - Small","SME","")))))</f>
        <v/>
      </c>
      <c r="I523" s="274" t="str">
        <f t="shared" ref="I523:I586" si="17">IF(H523="FRS","No","")</f>
        <v/>
      </c>
      <c r="J523" s="335"/>
      <c r="K523" s="273"/>
      <c r="L523" s="348"/>
    </row>
    <row r="524" spans="2:12">
      <c r="B524" s="345"/>
      <c r="C524" s="346"/>
      <c r="D524" s="273"/>
      <c r="E524" s="273"/>
      <c r="F524" s="273"/>
      <c r="G524" s="273"/>
      <c r="H524" s="347" t="str">
        <f t="shared" si="16"/>
        <v/>
      </c>
      <c r="I524" s="274" t="str">
        <f t="shared" si="17"/>
        <v/>
      </c>
      <c r="J524" s="335"/>
      <c r="K524" s="273"/>
      <c r="L524" s="348"/>
    </row>
    <row r="525" spans="2:12">
      <c r="B525" s="345"/>
      <c r="C525" s="346"/>
      <c r="D525" s="273"/>
      <c r="E525" s="273"/>
      <c r="F525" s="273"/>
      <c r="G525" s="273"/>
      <c r="H525" s="347" t="str">
        <f t="shared" si="16"/>
        <v/>
      </c>
      <c r="I525" s="274" t="str">
        <f t="shared" si="17"/>
        <v/>
      </c>
      <c r="J525" s="335"/>
      <c r="K525" s="273"/>
      <c r="L525" s="348"/>
    </row>
    <row r="526" spans="2:12">
      <c r="B526" s="345"/>
      <c r="C526" s="346"/>
      <c r="D526" s="273"/>
      <c r="E526" s="273"/>
      <c r="F526" s="273"/>
      <c r="G526" s="273"/>
      <c r="H526" s="347" t="str">
        <f t="shared" si="16"/>
        <v/>
      </c>
      <c r="I526" s="274" t="str">
        <f t="shared" si="17"/>
        <v/>
      </c>
      <c r="J526" s="335"/>
      <c r="K526" s="273"/>
      <c r="L526" s="348"/>
    </row>
    <row r="527" spans="2:12">
      <c r="B527" s="345"/>
      <c r="C527" s="346"/>
      <c r="D527" s="273"/>
      <c r="E527" s="273"/>
      <c r="F527" s="273"/>
      <c r="G527" s="273"/>
      <c r="H527" s="347" t="str">
        <f t="shared" si="16"/>
        <v/>
      </c>
      <c r="I527" s="274" t="str">
        <f t="shared" si="17"/>
        <v/>
      </c>
      <c r="J527" s="335"/>
      <c r="K527" s="273"/>
      <c r="L527" s="348"/>
    </row>
    <row r="528" spans="2:12">
      <c r="B528" s="345"/>
      <c r="C528" s="346"/>
      <c r="D528" s="273"/>
      <c r="E528" s="273"/>
      <c r="F528" s="273"/>
      <c r="G528" s="273"/>
      <c r="H528" s="347" t="str">
        <f t="shared" si="16"/>
        <v/>
      </c>
      <c r="I528" s="274" t="str">
        <f t="shared" si="17"/>
        <v/>
      </c>
      <c r="J528" s="335"/>
      <c r="K528" s="273"/>
      <c r="L528" s="348"/>
    </row>
    <row r="529" spans="2:12">
      <c r="B529" s="345"/>
      <c r="C529" s="346"/>
      <c r="D529" s="273"/>
      <c r="E529" s="273"/>
      <c r="F529" s="273"/>
      <c r="G529" s="273"/>
      <c r="H529" s="347" t="str">
        <f t="shared" si="16"/>
        <v/>
      </c>
      <c r="I529" s="274" t="str">
        <f t="shared" si="17"/>
        <v/>
      </c>
      <c r="J529" s="335"/>
      <c r="K529" s="273"/>
      <c r="L529" s="348"/>
    </row>
    <row r="530" spans="2:12">
      <c r="B530" s="345"/>
      <c r="C530" s="346"/>
      <c r="D530" s="273"/>
      <c r="E530" s="273"/>
      <c r="F530" s="273"/>
      <c r="G530" s="273"/>
      <c r="H530" s="347" t="str">
        <f t="shared" si="16"/>
        <v/>
      </c>
      <c r="I530" s="274" t="str">
        <f t="shared" si="17"/>
        <v/>
      </c>
      <c r="J530" s="335"/>
      <c r="K530" s="273"/>
      <c r="L530" s="348"/>
    </row>
    <row r="531" spans="2:12">
      <c r="B531" s="345"/>
      <c r="C531" s="346"/>
      <c r="D531" s="273"/>
      <c r="E531" s="273"/>
      <c r="F531" s="273"/>
      <c r="G531" s="273"/>
      <c r="H531" s="347" t="str">
        <f t="shared" si="16"/>
        <v/>
      </c>
      <c r="I531" s="274" t="str">
        <f t="shared" si="17"/>
        <v/>
      </c>
      <c r="J531" s="335"/>
      <c r="K531" s="273"/>
      <c r="L531" s="348"/>
    </row>
    <row r="532" spans="2:12">
      <c r="B532" s="345"/>
      <c r="C532" s="346"/>
      <c r="D532" s="273"/>
      <c r="E532" s="273"/>
      <c r="F532" s="273"/>
      <c r="G532" s="273"/>
      <c r="H532" s="347" t="str">
        <f t="shared" si="16"/>
        <v/>
      </c>
      <c r="I532" s="274" t="str">
        <f t="shared" si="17"/>
        <v/>
      </c>
      <c r="J532" s="335"/>
      <c r="K532" s="273"/>
      <c r="L532" s="348"/>
    </row>
    <row r="533" spans="2:12">
      <c r="B533" s="345"/>
      <c r="C533" s="346"/>
      <c r="D533" s="273"/>
      <c r="E533" s="273"/>
      <c r="F533" s="273"/>
      <c r="G533" s="273"/>
      <c r="H533" s="347" t="str">
        <f t="shared" si="16"/>
        <v/>
      </c>
      <c r="I533" s="274" t="str">
        <f t="shared" si="17"/>
        <v/>
      </c>
      <c r="J533" s="335"/>
      <c r="K533" s="273"/>
      <c r="L533" s="348"/>
    </row>
    <row r="534" spans="2:12">
      <c r="B534" s="345"/>
      <c r="C534" s="346"/>
      <c r="D534" s="273"/>
      <c r="E534" s="273"/>
      <c r="F534" s="273"/>
      <c r="G534" s="273"/>
      <c r="H534" s="347" t="str">
        <f t="shared" si="16"/>
        <v/>
      </c>
      <c r="I534" s="274" t="str">
        <f t="shared" si="17"/>
        <v/>
      </c>
      <c r="J534" s="335"/>
      <c r="K534" s="273"/>
      <c r="L534" s="348"/>
    </row>
    <row r="535" spans="2:12">
      <c r="B535" s="345"/>
      <c r="C535" s="346"/>
      <c r="D535" s="273"/>
      <c r="E535" s="273"/>
      <c r="F535" s="273"/>
      <c r="G535" s="273"/>
      <c r="H535" s="347" t="str">
        <f t="shared" si="16"/>
        <v/>
      </c>
      <c r="I535" s="274" t="str">
        <f t="shared" si="17"/>
        <v/>
      </c>
      <c r="J535" s="335"/>
      <c r="K535" s="273"/>
      <c r="L535" s="348"/>
    </row>
    <row r="536" spans="2:12">
      <c r="B536" s="345"/>
      <c r="C536" s="346"/>
      <c r="D536" s="273"/>
      <c r="E536" s="273"/>
      <c r="F536" s="273"/>
      <c r="G536" s="273"/>
      <c r="H536" s="347" t="str">
        <f t="shared" si="16"/>
        <v/>
      </c>
      <c r="I536" s="274" t="str">
        <f t="shared" si="17"/>
        <v/>
      </c>
      <c r="J536" s="335"/>
      <c r="K536" s="273"/>
      <c r="L536" s="348"/>
    </row>
    <row r="537" spans="2:12">
      <c r="B537" s="345"/>
      <c r="C537" s="346"/>
      <c r="D537" s="273"/>
      <c r="E537" s="273"/>
      <c r="F537" s="273"/>
      <c r="G537" s="273"/>
      <c r="H537" s="347" t="str">
        <f t="shared" si="16"/>
        <v/>
      </c>
      <c r="I537" s="274" t="str">
        <f t="shared" si="17"/>
        <v/>
      </c>
      <c r="J537" s="335"/>
      <c r="K537" s="273"/>
      <c r="L537" s="348"/>
    </row>
    <row r="538" spans="2:12">
      <c r="B538" s="345"/>
      <c r="C538" s="346"/>
      <c r="D538" s="273"/>
      <c r="E538" s="273"/>
      <c r="F538" s="273"/>
      <c r="G538" s="273"/>
      <c r="H538" s="347" t="str">
        <f t="shared" si="16"/>
        <v/>
      </c>
      <c r="I538" s="274" t="str">
        <f t="shared" si="17"/>
        <v/>
      </c>
      <c r="J538" s="335"/>
      <c r="K538" s="273"/>
      <c r="L538" s="348"/>
    </row>
    <row r="539" spans="2:12">
      <c r="B539" s="345"/>
      <c r="C539" s="346"/>
      <c r="D539" s="273"/>
      <c r="E539" s="273"/>
      <c r="F539" s="273"/>
      <c r="G539" s="273"/>
      <c r="H539" s="347" t="str">
        <f t="shared" si="16"/>
        <v/>
      </c>
      <c r="I539" s="274" t="str">
        <f t="shared" si="17"/>
        <v/>
      </c>
      <c r="J539" s="335"/>
      <c r="K539" s="273"/>
      <c r="L539" s="348"/>
    </row>
    <row r="540" spans="2:12">
      <c r="B540" s="345"/>
      <c r="C540" s="346"/>
      <c r="D540" s="273"/>
      <c r="E540" s="273"/>
      <c r="F540" s="273"/>
      <c r="G540" s="273"/>
      <c r="H540" s="347" t="str">
        <f t="shared" si="16"/>
        <v/>
      </c>
      <c r="I540" s="274" t="str">
        <f t="shared" si="17"/>
        <v/>
      </c>
      <c r="J540" s="335"/>
      <c r="K540" s="273"/>
      <c r="L540" s="348"/>
    </row>
    <row r="541" spans="2:12">
      <c r="B541" s="345"/>
      <c r="C541" s="346"/>
      <c r="D541" s="273"/>
      <c r="E541" s="273"/>
      <c r="F541" s="273"/>
      <c r="G541" s="273"/>
      <c r="H541" s="347" t="str">
        <f t="shared" si="16"/>
        <v/>
      </c>
      <c r="I541" s="274" t="str">
        <f t="shared" si="17"/>
        <v/>
      </c>
      <c r="J541" s="335"/>
      <c r="K541" s="273"/>
      <c r="L541" s="348"/>
    </row>
    <row r="542" spans="2:12">
      <c r="B542" s="345"/>
      <c r="C542" s="346"/>
      <c r="D542" s="273"/>
      <c r="E542" s="273"/>
      <c r="F542" s="273"/>
      <c r="G542" s="273"/>
      <c r="H542" s="347" t="str">
        <f t="shared" si="16"/>
        <v/>
      </c>
      <c r="I542" s="274" t="str">
        <f t="shared" si="17"/>
        <v/>
      </c>
      <c r="J542" s="335"/>
      <c r="K542" s="273"/>
      <c r="L542" s="348"/>
    </row>
    <row r="543" spans="2:12">
      <c r="B543" s="345"/>
      <c r="C543" s="346"/>
      <c r="D543" s="273"/>
      <c r="E543" s="273"/>
      <c r="F543" s="273"/>
      <c r="G543" s="273"/>
      <c r="H543" s="347" t="str">
        <f t="shared" si="16"/>
        <v/>
      </c>
      <c r="I543" s="274" t="str">
        <f t="shared" si="17"/>
        <v/>
      </c>
      <c r="J543" s="335"/>
      <c r="K543" s="273"/>
      <c r="L543" s="348"/>
    </row>
    <row r="544" spans="2:12">
      <c r="B544" s="345"/>
      <c r="C544" s="346"/>
      <c r="D544" s="273"/>
      <c r="E544" s="273"/>
      <c r="F544" s="273"/>
      <c r="G544" s="273"/>
      <c r="H544" s="347" t="str">
        <f t="shared" si="16"/>
        <v/>
      </c>
      <c r="I544" s="274" t="str">
        <f t="shared" si="17"/>
        <v/>
      </c>
      <c r="J544" s="335"/>
      <c r="K544" s="273"/>
      <c r="L544" s="348"/>
    </row>
    <row r="545" spans="2:12">
      <c r="B545" s="345"/>
      <c r="C545" s="346"/>
      <c r="D545" s="273"/>
      <c r="E545" s="273"/>
      <c r="F545" s="273"/>
      <c r="G545" s="273"/>
      <c r="H545" s="347" t="str">
        <f t="shared" si="16"/>
        <v/>
      </c>
      <c r="I545" s="274" t="str">
        <f t="shared" si="17"/>
        <v/>
      </c>
      <c r="J545" s="335"/>
      <c r="K545" s="273"/>
      <c r="L545" s="348"/>
    </row>
    <row r="546" spans="2:12">
      <c r="B546" s="345"/>
      <c r="C546" s="346"/>
      <c r="D546" s="273"/>
      <c r="E546" s="273"/>
      <c r="F546" s="273"/>
      <c r="G546" s="273"/>
      <c r="H546" s="347" t="str">
        <f t="shared" si="16"/>
        <v/>
      </c>
      <c r="I546" s="274" t="str">
        <f t="shared" si="17"/>
        <v/>
      </c>
      <c r="J546" s="335"/>
      <c r="K546" s="273"/>
      <c r="L546" s="348"/>
    </row>
    <row r="547" spans="2:12">
      <c r="B547" s="345"/>
      <c r="C547" s="346"/>
      <c r="D547" s="273"/>
      <c r="E547" s="273"/>
      <c r="F547" s="273"/>
      <c r="G547" s="273"/>
      <c r="H547" s="347" t="str">
        <f t="shared" si="16"/>
        <v/>
      </c>
      <c r="I547" s="274" t="str">
        <f t="shared" si="17"/>
        <v/>
      </c>
      <c r="J547" s="335"/>
      <c r="K547" s="273"/>
      <c r="L547" s="348"/>
    </row>
    <row r="548" spans="2:12">
      <c r="B548" s="345"/>
      <c r="C548" s="346"/>
      <c r="D548" s="273"/>
      <c r="E548" s="273"/>
      <c r="F548" s="273"/>
      <c r="G548" s="273"/>
      <c r="H548" s="347" t="str">
        <f t="shared" si="16"/>
        <v/>
      </c>
      <c r="I548" s="274" t="str">
        <f t="shared" si="17"/>
        <v/>
      </c>
      <c r="J548" s="335"/>
      <c r="K548" s="273"/>
      <c r="L548" s="348"/>
    </row>
    <row r="549" spans="2:12">
      <c r="B549" s="345"/>
      <c r="C549" s="346"/>
      <c r="D549" s="273"/>
      <c r="E549" s="273"/>
      <c r="F549" s="273"/>
      <c r="G549" s="273"/>
      <c r="H549" s="347" t="str">
        <f t="shared" si="16"/>
        <v/>
      </c>
      <c r="I549" s="274" t="str">
        <f t="shared" si="17"/>
        <v/>
      </c>
      <c r="J549" s="335"/>
      <c r="K549" s="273"/>
      <c r="L549" s="348"/>
    </row>
    <row r="550" spans="2:12">
      <c r="B550" s="345"/>
      <c r="C550" s="346"/>
      <c r="D550" s="273"/>
      <c r="E550" s="273"/>
      <c r="F550" s="273"/>
      <c r="G550" s="273"/>
      <c r="H550" s="347" t="str">
        <f t="shared" si="16"/>
        <v/>
      </c>
      <c r="I550" s="274" t="str">
        <f t="shared" si="17"/>
        <v/>
      </c>
      <c r="J550" s="335"/>
      <c r="K550" s="273"/>
      <c r="L550" s="348"/>
    </row>
    <row r="551" spans="2:12">
      <c r="B551" s="345"/>
      <c r="C551" s="346"/>
      <c r="D551" s="273"/>
      <c r="E551" s="273"/>
      <c r="F551" s="273"/>
      <c r="G551" s="273"/>
      <c r="H551" s="347" t="str">
        <f t="shared" si="16"/>
        <v/>
      </c>
      <c r="I551" s="274" t="str">
        <f t="shared" si="17"/>
        <v/>
      </c>
      <c r="J551" s="335"/>
      <c r="K551" s="273"/>
      <c r="L551" s="348"/>
    </row>
    <row r="552" spans="2:12">
      <c r="B552" s="345"/>
      <c r="C552" s="346"/>
      <c r="D552" s="273"/>
      <c r="E552" s="273"/>
      <c r="F552" s="273"/>
      <c r="G552" s="273"/>
      <c r="H552" s="347" t="str">
        <f t="shared" si="16"/>
        <v/>
      </c>
      <c r="I552" s="274" t="str">
        <f t="shared" si="17"/>
        <v/>
      </c>
      <c r="J552" s="335"/>
      <c r="K552" s="273"/>
      <c r="L552" s="348"/>
    </row>
    <row r="553" spans="2:12">
      <c r="B553" s="345"/>
      <c r="C553" s="346"/>
      <c r="D553" s="273"/>
      <c r="E553" s="273"/>
      <c r="F553" s="273"/>
      <c r="G553" s="273"/>
      <c r="H553" s="347" t="str">
        <f t="shared" si="16"/>
        <v/>
      </c>
      <c r="I553" s="274" t="str">
        <f t="shared" si="17"/>
        <v/>
      </c>
      <c r="J553" s="335"/>
      <c r="K553" s="273"/>
      <c r="L553" s="348"/>
    </row>
    <row r="554" spans="2:12">
      <c r="B554" s="345"/>
      <c r="C554" s="346"/>
      <c r="D554" s="273"/>
      <c r="E554" s="273"/>
      <c r="F554" s="273"/>
      <c r="G554" s="273"/>
      <c r="H554" s="347" t="str">
        <f t="shared" si="16"/>
        <v/>
      </c>
      <c r="I554" s="274" t="str">
        <f t="shared" si="17"/>
        <v/>
      </c>
      <c r="J554" s="335"/>
      <c r="K554" s="273"/>
      <c r="L554" s="348"/>
    </row>
    <row r="555" spans="2:12">
      <c r="B555" s="345"/>
      <c r="C555" s="346"/>
      <c r="D555" s="273"/>
      <c r="E555" s="273"/>
      <c r="F555" s="273"/>
      <c r="G555" s="273"/>
      <c r="H555" s="347" t="str">
        <f t="shared" si="16"/>
        <v/>
      </c>
      <c r="I555" s="274" t="str">
        <f t="shared" si="17"/>
        <v/>
      </c>
      <c r="J555" s="335"/>
      <c r="K555" s="273"/>
      <c r="L555" s="348"/>
    </row>
    <row r="556" spans="2:12">
      <c r="B556" s="345"/>
      <c r="C556" s="346"/>
      <c r="D556" s="273"/>
      <c r="E556" s="273"/>
      <c r="F556" s="273"/>
      <c r="G556" s="273"/>
      <c r="H556" s="347" t="str">
        <f t="shared" si="16"/>
        <v/>
      </c>
      <c r="I556" s="274" t="str">
        <f t="shared" si="17"/>
        <v/>
      </c>
      <c r="J556" s="335"/>
      <c r="K556" s="273"/>
      <c r="L556" s="348"/>
    </row>
    <row r="557" spans="2:12">
      <c r="B557" s="345"/>
      <c r="C557" s="346"/>
      <c r="D557" s="273"/>
      <c r="E557" s="273"/>
      <c r="F557" s="273"/>
      <c r="G557" s="273"/>
      <c r="H557" s="347" t="str">
        <f t="shared" si="16"/>
        <v/>
      </c>
      <c r="I557" s="274" t="str">
        <f t="shared" si="17"/>
        <v/>
      </c>
      <c r="J557" s="335"/>
      <c r="K557" s="273"/>
      <c r="L557" s="348"/>
    </row>
    <row r="558" spans="2:12">
      <c r="B558" s="345"/>
      <c r="C558" s="346"/>
      <c r="D558" s="273"/>
      <c r="E558" s="273"/>
      <c r="F558" s="273"/>
      <c r="G558" s="273"/>
      <c r="H558" s="347" t="str">
        <f t="shared" si="16"/>
        <v/>
      </c>
      <c r="I558" s="274" t="str">
        <f t="shared" si="17"/>
        <v/>
      </c>
      <c r="J558" s="335"/>
      <c r="K558" s="273"/>
      <c r="L558" s="348"/>
    </row>
    <row r="559" spans="2:12">
      <c r="B559" s="345"/>
      <c r="C559" s="346"/>
      <c r="D559" s="273"/>
      <c r="E559" s="273"/>
      <c r="F559" s="273"/>
      <c r="G559" s="273"/>
      <c r="H559" s="347" t="str">
        <f t="shared" si="16"/>
        <v/>
      </c>
      <c r="I559" s="274" t="str">
        <f t="shared" si="17"/>
        <v/>
      </c>
      <c r="J559" s="335"/>
      <c r="K559" s="273"/>
      <c r="L559" s="348"/>
    </row>
    <row r="560" spans="2:12">
      <c r="B560" s="345"/>
      <c r="C560" s="346"/>
      <c r="D560" s="273"/>
      <c r="E560" s="273"/>
      <c r="F560" s="273"/>
      <c r="G560" s="273"/>
      <c r="H560" s="347" t="str">
        <f t="shared" si="16"/>
        <v/>
      </c>
      <c r="I560" s="274" t="str">
        <f t="shared" si="17"/>
        <v/>
      </c>
      <c r="J560" s="335"/>
      <c r="K560" s="273"/>
      <c r="L560" s="348"/>
    </row>
    <row r="561" spans="2:12">
      <c r="B561" s="345"/>
      <c r="C561" s="346"/>
      <c r="D561" s="273"/>
      <c r="E561" s="273"/>
      <c r="F561" s="273"/>
      <c r="G561" s="273"/>
      <c r="H561" s="347" t="str">
        <f t="shared" si="16"/>
        <v/>
      </c>
      <c r="I561" s="274" t="str">
        <f t="shared" si="17"/>
        <v/>
      </c>
      <c r="J561" s="335"/>
      <c r="K561" s="273"/>
      <c r="L561" s="348"/>
    </row>
    <row r="562" spans="2:12">
      <c r="B562" s="345"/>
      <c r="C562" s="346"/>
      <c r="D562" s="273"/>
      <c r="E562" s="273"/>
      <c r="F562" s="273"/>
      <c r="G562" s="273"/>
      <c r="H562" s="347" t="str">
        <f t="shared" si="16"/>
        <v/>
      </c>
      <c r="I562" s="274" t="str">
        <f t="shared" si="17"/>
        <v/>
      </c>
      <c r="J562" s="335"/>
      <c r="K562" s="273"/>
      <c r="L562" s="348"/>
    </row>
    <row r="563" spans="2:12">
      <c r="B563" s="345"/>
      <c r="C563" s="346"/>
      <c r="D563" s="273"/>
      <c r="E563" s="273"/>
      <c r="F563" s="273"/>
      <c r="G563" s="273"/>
      <c r="H563" s="347" t="str">
        <f t="shared" si="16"/>
        <v/>
      </c>
      <c r="I563" s="274" t="str">
        <f t="shared" si="17"/>
        <v/>
      </c>
      <c r="J563" s="335"/>
      <c r="K563" s="273"/>
      <c r="L563" s="348"/>
    </row>
    <row r="564" spans="2:12">
      <c r="B564" s="345"/>
      <c r="C564" s="346"/>
      <c r="D564" s="273"/>
      <c r="E564" s="273"/>
      <c r="F564" s="273"/>
      <c r="G564" s="273"/>
      <c r="H564" s="347" t="str">
        <f t="shared" si="16"/>
        <v/>
      </c>
      <c r="I564" s="274" t="str">
        <f t="shared" si="17"/>
        <v/>
      </c>
      <c r="J564" s="335"/>
      <c r="K564" s="273"/>
      <c r="L564" s="348"/>
    </row>
    <row r="565" spans="2:12">
      <c r="B565" s="345"/>
      <c r="C565" s="346"/>
      <c r="D565" s="273"/>
      <c r="E565" s="273"/>
      <c r="F565" s="273"/>
      <c r="G565" s="273"/>
      <c r="H565" s="347" t="str">
        <f t="shared" si="16"/>
        <v/>
      </c>
      <c r="I565" s="274" t="str">
        <f t="shared" si="17"/>
        <v/>
      </c>
      <c r="J565" s="335"/>
      <c r="K565" s="273"/>
      <c r="L565" s="348"/>
    </row>
    <row r="566" spans="2:12">
      <c r="B566" s="345"/>
      <c r="C566" s="346"/>
      <c r="D566" s="273"/>
      <c r="E566" s="273"/>
      <c r="F566" s="273"/>
      <c r="G566" s="273"/>
      <c r="H566" s="347" t="str">
        <f t="shared" si="16"/>
        <v/>
      </c>
      <c r="I566" s="274" t="str">
        <f t="shared" si="17"/>
        <v/>
      </c>
      <c r="J566" s="335"/>
      <c r="K566" s="273"/>
      <c r="L566" s="348"/>
    </row>
    <row r="567" spans="2:12">
      <c r="B567" s="345"/>
      <c r="C567" s="346"/>
      <c r="D567" s="273"/>
      <c r="E567" s="273"/>
      <c r="F567" s="273"/>
      <c r="G567" s="273"/>
      <c r="H567" s="347" t="str">
        <f t="shared" si="16"/>
        <v/>
      </c>
      <c r="I567" s="274" t="str">
        <f t="shared" si="17"/>
        <v/>
      </c>
      <c r="J567" s="335"/>
      <c r="K567" s="273"/>
      <c r="L567" s="348"/>
    </row>
    <row r="568" spans="2:12">
      <c r="B568" s="345"/>
      <c r="C568" s="346"/>
      <c r="D568" s="273"/>
      <c r="E568" s="273"/>
      <c r="F568" s="273"/>
      <c r="G568" s="273"/>
      <c r="H568" s="347" t="str">
        <f t="shared" si="16"/>
        <v/>
      </c>
      <c r="I568" s="274" t="str">
        <f t="shared" si="17"/>
        <v/>
      </c>
      <c r="J568" s="335"/>
      <c r="K568" s="273"/>
      <c r="L568" s="348"/>
    </row>
    <row r="569" spans="2:12">
      <c r="B569" s="345"/>
      <c r="C569" s="346"/>
      <c r="D569" s="273"/>
      <c r="E569" s="273"/>
      <c r="F569" s="273"/>
      <c r="G569" s="273"/>
      <c r="H569" s="347" t="str">
        <f t="shared" si="16"/>
        <v/>
      </c>
      <c r="I569" s="274" t="str">
        <f t="shared" si="17"/>
        <v/>
      </c>
      <c r="J569" s="335"/>
      <c r="K569" s="273"/>
      <c r="L569" s="348"/>
    </row>
    <row r="570" spans="2:12">
      <c r="B570" s="345"/>
      <c r="C570" s="346"/>
      <c r="D570" s="273"/>
      <c r="E570" s="273"/>
      <c r="F570" s="273"/>
      <c r="G570" s="273"/>
      <c r="H570" s="347" t="str">
        <f t="shared" si="16"/>
        <v/>
      </c>
      <c r="I570" s="274" t="str">
        <f t="shared" si="17"/>
        <v/>
      </c>
      <c r="J570" s="335"/>
      <c r="K570" s="273"/>
      <c r="L570" s="348"/>
    </row>
    <row r="571" spans="2:12">
      <c r="B571" s="345"/>
      <c r="C571" s="346"/>
      <c r="D571" s="273"/>
      <c r="E571" s="273"/>
      <c r="F571" s="273"/>
      <c r="G571" s="273"/>
      <c r="H571" s="347" t="str">
        <f t="shared" si="16"/>
        <v/>
      </c>
      <c r="I571" s="274" t="str">
        <f t="shared" si="17"/>
        <v/>
      </c>
      <c r="J571" s="335"/>
      <c r="K571" s="273"/>
      <c r="L571" s="348"/>
    </row>
    <row r="572" spans="2:12">
      <c r="B572" s="345"/>
      <c r="C572" s="346"/>
      <c r="D572" s="273"/>
      <c r="E572" s="273"/>
      <c r="F572" s="273"/>
      <c r="G572" s="273"/>
      <c r="H572" s="347" t="str">
        <f t="shared" si="16"/>
        <v/>
      </c>
      <c r="I572" s="274" t="str">
        <f t="shared" si="17"/>
        <v/>
      </c>
      <c r="J572" s="335"/>
      <c r="K572" s="273"/>
      <c r="L572" s="348"/>
    </row>
    <row r="573" spans="2:12">
      <c r="B573" s="345"/>
      <c r="C573" s="346"/>
      <c r="D573" s="273"/>
      <c r="E573" s="273"/>
      <c r="F573" s="273"/>
      <c r="G573" s="273"/>
      <c r="H573" s="347" t="str">
        <f t="shared" si="16"/>
        <v/>
      </c>
      <c r="I573" s="274" t="str">
        <f t="shared" si="17"/>
        <v/>
      </c>
      <c r="J573" s="335"/>
      <c r="K573" s="273"/>
      <c r="L573" s="348"/>
    </row>
    <row r="574" spans="2:12">
      <c r="B574" s="345"/>
      <c r="C574" s="346"/>
      <c r="D574" s="273"/>
      <c r="E574" s="273"/>
      <c r="F574" s="273"/>
      <c r="G574" s="273"/>
      <c r="H574" s="347" t="str">
        <f t="shared" si="16"/>
        <v/>
      </c>
      <c r="I574" s="274" t="str">
        <f t="shared" si="17"/>
        <v/>
      </c>
      <c r="J574" s="335"/>
      <c r="K574" s="273"/>
      <c r="L574" s="348"/>
    </row>
    <row r="575" spans="2:12">
      <c r="B575" s="345"/>
      <c r="C575" s="346"/>
      <c r="D575" s="273"/>
      <c r="E575" s="273"/>
      <c r="F575" s="273"/>
      <c r="G575" s="273"/>
      <c r="H575" s="347" t="str">
        <f t="shared" si="16"/>
        <v/>
      </c>
      <c r="I575" s="274" t="str">
        <f t="shared" si="17"/>
        <v/>
      </c>
      <c r="J575" s="335"/>
      <c r="K575" s="273"/>
      <c r="L575" s="348"/>
    </row>
    <row r="576" spans="2:12">
      <c r="B576" s="345"/>
      <c r="C576" s="346"/>
      <c r="D576" s="273"/>
      <c r="E576" s="273"/>
      <c r="F576" s="273"/>
      <c r="G576" s="273"/>
      <c r="H576" s="347" t="str">
        <f t="shared" si="16"/>
        <v/>
      </c>
      <c r="I576" s="274" t="str">
        <f t="shared" si="17"/>
        <v/>
      </c>
      <c r="J576" s="335"/>
      <c r="K576" s="273"/>
      <c r="L576" s="348"/>
    </row>
    <row r="577" spans="2:12">
      <c r="B577" s="345"/>
      <c r="C577" s="346"/>
      <c r="D577" s="273"/>
      <c r="E577" s="273"/>
      <c r="F577" s="273"/>
      <c r="G577" s="273"/>
      <c r="H577" s="347" t="str">
        <f t="shared" si="16"/>
        <v/>
      </c>
      <c r="I577" s="274" t="str">
        <f t="shared" si="17"/>
        <v/>
      </c>
      <c r="J577" s="335"/>
      <c r="K577" s="273"/>
      <c r="L577" s="348"/>
    </row>
    <row r="578" spans="2:12">
      <c r="B578" s="345"/>
      <c r="C578" s="346"/>
      <c r="D578" s="273"/>
      <c r="E578" s="273"/>
      <c r="F578" s="273"/>
      <c r="G578" s="273"/>
      <c r="H578" s="347" t="str">
        <f t="shared" si="16"/>
        <v/>
      </c>
      <c r="I578" s="274" t="str">
        <f t="shared" si="17"/>
        <v/>
      </c>
      <c r="J578" s="335"/>
      <c r="K578" s="273"/>
      <c r="L578" s="348"/>
    </row>
    <row r="579" spans="2:12">
      <c r="B579" s="345"/>
      <c r="C579" s="346"/>
      <c r="D579" s="273"/>
      <c r="E579" s="273"/>
      <c r="F579" s="273"/>
      <c r="G579" s="273"/>
      <c r="H579" s="347" t="str">
        <f t="shared" si="16"/>
        <v/>
      </c>
      <c r="I579" s="274" t="str">
        <f t="shared" si="17"/>
        <v/>
      </c>
      <c r="J579" s="335"/>
      <c r="K579" s="273"/>
      <c r="L579" s="348"/>
    </row>
    <row r="580" spans="2:12">
      <c r="B580" s="345"/>
      <c r="C580" s="346"/>
      <c r="D580" s="273"/>
      <c r="E580" s="273"/>
      <c r="F580" s="273"/>
      <c r="G580" s="273"/>
      <c r="H580" s="347" t="str">
        <f t="shared" si="16"/>
        <v/>
      </c>
      <c r="I580" s="274" t="str">
        <f t="shared" si="17"/>
        <v/>
      </c>
      <c r="J580" s="335"/>
      <c r="K580" s="273"/>
      <c r="L580" s="348"/>
    </row>
    <row r="581" spans="2:12">
      <c r="B581" s="345"/>
      <c r="C581" s="346"/>
      <c r="D581" s="273"/>
      <c r="E581" s="273"/>
      <c r="F581" s="273"/>
      <c r="G581" s="273"/>
      <c r="H581" s="347" t="str">
        <f t="shared" si="16"/>
        <v/>
      </c>
      <c r="I581" s="274" t="str">
        <f t="shared" si="17"/>
        <v/>
      </c>
      <c r="J581" s="335"/>
      <c r="K581" s="273"/>
      <c r="L581" s="348"/>
    </row>
    <row r="582" spans="2:12">
      <c r="B582" s="345"/>
      <c r="C582" s="346"/>
      <c r="D582" s="273"/>
      <c r="E582" s="273"/>
      <c r="F582" s="273"/>
      <c r="G582" s="273"/>
      <c r="H582" s="347" t="str">
        <f t="shared" si="16"/>
        <v/>
      </c>
      <c r="I582" s="274" t="str">
        <f t="shared" si="17"/>
        <v/>
      </c>
      <c r="J582" s="335"/>
      <c r="K582" s="273"/>
      <c r="L582" s="348"/>
    </row>
    <row r="583" spans="2:12">
      <c r="B583" s="345"/>
      <c r="C583" s="346"/>
      <c r="D583" s="273"/>
      <c r="E583" s="273"/>
      <c r="F583" s="273"/>
      <c r="G583" s="273"/>
      <c r="H583" s="347" t="str">
        <f t="shared" si="16"/>
        <v/>
      </c>
      <c r="I583" s="274" t="str">
        <f t="shared" si="17"/>
        <v/>
      </c>
      <c r="J583" s="335"/>
      <c r="K583" s="273"/>
      <c r="L583" s="348"/>
    </row>
    <row r="584" spans="2:12">
      <c r="B584" s="345"/>
      <c r="C584" s="346"/>
      <c r="D584" s="273"/>
      <c r="E584" s="273"/>
      <c r="F584" s="273"/>
      <c r="G584" s="273"/>
      <c r="H584" s="347" t="str">
        <f t="shared" si="16"/>
        <v/>
      </c>
      <c r="I584" s="274" t="str">
        <f t="shared" si="17"/>
        <v/>
      </c>
      <c r="J584" s="335"/>
      <c r="K584" s="273"/>
      <c r="L584" s="348"/>
    </row>
    <row r="585" spans="2:12">
      <c r="B585" s="345"/>
      <c r="C585" s="346"/>
      <c r="D585" s="273"/>
      <c r="E585" s="273"/>
      <c r="F585" s="273"/>
      <c r="G585" s="273"/>
      <c r="H585" s="347" t="str">
        <f t="shared" si="16"/>
        <v/>
      </c>
      <c r="I585" s="274" t="str">
        <f t="shared" si="17"/>
        <v/>
      </c>
      <c r="J585" s="335"/>
      <c r="K585" s="273"/>
      <c r="L585" s="348"/>
    </row>
    <row r="586" spans="2:12">
      <c r="B586" s="345"/>
      <c r="C586" s="346"/>
      <c r="D586" s="273"/>
      <c r="E586" s="273"/>
      <c r="F586" s="273"/>
      <c r="G586" s="273"/>
      <c r="H586" s="347" t="str">
        <f t="shared" si="16"/>
        <v/>
      </c>
      <c r="I586" s="274" t="str">
        <f t="shared" si="17"/>
        <v/>
      </c>
      <c r="J586" s="335"/>
      <c r="K586" s="273"/>
      <c r="L586" s="348"/>
    </row>
    <row r="587" spans="2:12">
      <c r="B587" s="345"/>
      <c r="C587" s="346"/>
      <c r="D587" s="273"/>
      <c r="E587" s="273"/>
      <c r="F587" s="273"/>
      <c r="G587" s="273"/>
      <c r="H587" s="347" t="str">
        <f t="shared" ref="H587:H650" si="18">IF(G587="Large","NRS",IF(G587="International","FRS",IF(G587="SME - Medium","SME",IF(G587="SME - Micro","SME",IF(G587="SME - Small","SME","")))))</f>
        <v/>
      </c>
      <c r="I587" s="274" t="str">
        <f t="shared" ref="I587:I650" si="19">IF(H587="FRS","No","")</f>
        <v/>
      </c>
      <c r="J587" s="335"/>
      <c r="K587" s="273"/>
      <c r="L587" s="348"/>
    </row>
    <row r="588" spans="2:12">
      <c r="B588" s="345"/>
      <c r="C588" s="346"/>
      <c r="D588" s="273"/>
      <c r="E588" s="273"/>
      <c r="F588" s="273"/>
      <c r="G588" s="273"/>
      <c r="H588" s="347" t="str">
        <f t="shared" si="18"/>
        <v/>
      </c>
      <c r="I588" s="274" t="str">
        <f t="shared" si="19"/>
        <v/>
      </c>
      <c r="J588" s="335"/>
      <c r="K588" s="273"/>
      <c r="L588" s="348"/>
    </row>
    <row r="589" spans="2:12">
      <c r="B589" s="345"/>
      <c r="C589" s="346"/>
      <c r="D589" s="273"/>
      <c r="E589" s="273"/>
      <c r="F589" s="273"/>
      <c r="G589" s="273"/>
      <c r="H589" s="347" t="str">
        <f t="shared" si="18"/>
        <v/>
      </c>
      <c r="I589" s="274" t="str">
        <f t="shared" si="19"/>
        <v/>
      </c>
      <c r="J589" s="335"/>
      <c r="K589" s="273"/>
      <c r="L589" s="348"/>
    </row>
    <row r="590" spans="2:12">
      <c r="B590" s="345"/>
      <c r="C590" s="346"/>
      <c r="D590" s="273"/>
      <c r="E590" s="273"/>
      <c r="F590" s="273"/>
      <c r="G590" s="273"/>
      <c r="H590" s="347" t="str">
        <f t="shared" si="18"/>
        <v/>
      </c>
      <c r="I590" s="274" t="str">
        <f t="shared" si="19"/>
        <v/>
      </c>
      <c r="J590" s="335"/>
      <c r="K590" s="273"/>
      <c r="L590" s="348"/>
    </row>
    <row r="591" spans="2:12">
      <c r="B591" s="345"/>
      <c r="C591" s="346"/>
      <c r="D591" s="273"/>
      <c r="E591" s="273"/>
      <c r="F591" s="273"/>
      <c r="G591" s="273"/>
      <c r="H591" s="347" t="str">
        <f t="shared" si="18"/>
        <v/>
      </c>
      <c r="I591" s="274" t="str">
        <f t="shared" si="19"/>
        <v/>
      </c>
      <c r="J591" s="335"/>
      <c r="K591" s="273"/>
      <c r="L591" s="348"/>
    </row>
    <row r="592" spans="2:12">
      <c r="B592" s="345"/>
      <c r="C592" s="346"/>
      <c r="D592" s="273"/>
      <c r="E592" s="273"/>
      <c r="F592" s="273"/>
      <c r="G592" s="273"/>
      <c r="H592" s="347" t="str">
        <f t="shared" si="18"/>
        <v/>
      </c>
      <c r="I592" s="274" t="str">
        <f t="shared" si="19"/>
        <v/>
      </c>
      <c r="J592" s="335"/>
      <c r="K592" s="273"/>
      <c r="L592" s="348"/>
    </row>
    <row r="593" spans="2:12">
      <c r="B593" s="345"/>
      <c r="C593" s="346"/>
      <c r="D593" s="273"/>
      <c r="E593" s="273"/>
      <c r="F593" s="273"/>
      <c r="G593" s="273"/>
      <c r="H593" s="347" t="str">
        <f t="shared" si="18"/>
        <v/>
      </c>
      <c r="I593" s="274" t="str">
        <f t="shared" si="19"/>
        <v/>
      </c>
      <c r="J593" s="335"/>
      <c r="K593" s="273"/>
      <c r="L593" s="348"/>
    </row>
    <row r="594" spans="2:12">
      <c r="B594" s="345"/>
      <c r="C594" s="346"/>
      <c r="D594" s="273"/>
      <c r="E594" s="273"/>
      <c r="F594" s="273"/>
      <c r="G594" s="273"/>
      <c r="H594" s="347" t="str">
        <f t="shared" si="18"/>
        <v/>
      </c>
      <c r="I594" s="274" t="str">
        <f t="shared" si="19"/>
        <v/>
      </c>
      <c r="J594" s="335"/>
      <c r="K594" s="273"/>
      <c r="L594" s="348"/>
    </row>
    <row r="595" spans="2:12">
      <c r="B595" s="345"/>
      <c r="C595" s="346"/>
      <c r="D595" s="273"/>
      <c r="E595" s="273"/>
      <c r="F595" s="273"/>
      <c r="G595" s="273"/>
      <c r="H595" s="347" t="str">
        <f t="shared" si="18"/>
        <v/>
      </c>
      <c r="I595" s="274" t="str">
        <f t="shared" si="19"/>
        <v/>
      </c>
      <c r="J595" s="335"/>
      <c r="K595" s="273"/>
      <c r="L595" s="348"/>
    </row>
    <row r="596" spans="2:12">
      <c r="B596" s="345"/>
      <c r="C596" s="346"/>
      <c r="D596" s="273"/>
      <c r="E596" s="273"/>
      <c r="F596" s="273"/>
      <c r="G596" s="273"/>
      <c r="H596" s="347" t="str">
        <f t="shared" si="18"/>
        <v/>
      </c>
      <c r="I596" s="274" t="str">
        <f t="shared" si="19"/>
        <v/>
      </c>
      <c r="J596" s="335"/>
      <c r="K596" s="273"/>
      <c r="L596" s="348"/>
    </row>
    <row r="597" spans="2:12">
      <c r="B597" s="345"/>
      <c r="C597" s="346"/>
      <c r="D597" s="273"/>
      <c r="E597" s="273"/>
      <c r="F597" s="273"/>
      <c r="G597" s="273"/>
      <c r="H597" s="347" t="str">
        <f t="shared" si="18"/>
        <v/>
      </c>
      <c r="I597" s="274" t="str">
        <f t="shared" si="19"/>
        <v/>
      </c>
      <c r="J597" s="335"/>
      <c r="K597" s="273"/>
      <c r="L597" s="348"/>
    </row>
    <row r="598" spans="2:12">
      <c r="B598" s="345"/>
      <c r="C598" s="346"/>
      <c r="D598" s="273"/>
      <c r="E598" s="273"/>
      <c r="F598" s="273"/>
      <c r="G598" s="273"/>
      <c r="H598" s="347" t="str">
        <f t="shared" si="18"/>
        <v/>
      </c>
      <c r="I598" s="274" t="str">
        <f t="shared" si="19"/>
        <v/>
      </c>
      <c r="J598" s="335"/>
      <c r="K598" s="273"/>
      <c r="L598" s="348"/>
    </row>
    <row r="599" spans="2:12">
      <c r="B599" s="345"/>
      <c r="C599" s="346"/>
      <c r="D599" s="273"/>
      <c r="E599" s="273"/>
      <c r="F599" s="273"/>
      <c r="G599" s="273"/>
      <c r="H599" s="347" t="str">
        <f t="shared" si="18"/>
        <v/>
      </c>
      <c r="I599" s="274" t="str">
        <f t="shared" si="19"/>
        <v/>
      </c>
      <c r="J599" s="335"/>
      <c r="K599" s="273"/>
      <c r="L599" s="348"/>
    </row>
    <row r="600" spans="2:12">
      <c r="B600" s="345"/>
      <c r="C600" s="346"/>
      <c r="D600" s="273"/>
      <c r="E600" s="273"/>
      <c r="F600" s="273"/>
      <c r="G600" s="273"/>
      <c r="H600" s="347" t="str">
        <f t="shared" si="18"/>
        <v/>
      </c>
      <c r="I600" s="274" t="str">
        <f t="shared" si="19"/>
        <v/>
      </c>
      <c r="J600" s="335"/>
      <c r="K600" s="273"/>
      <c r="L600" s="348"/>
    </row>
    <row r="601" spans="2:12">
      <c r="B601" s="345"/>
      <c r="C601" s="346"/>
      <c r="D601" s="273"/>
      <c r="E601" s="273"/>
      <c r="F601" s="273"/>
      <c r="G601" s="273"/>
      <c r="H601" s="347" t="str">
        <f t="shared" si="18"/>
        <v/>
      </c>
      <c r="I601" s="274" t="str">
        <f t="shared" si="19"/>
        <v/>
      </c>
      <c r="J601" s="335"/>
      <c r="K601" s="273"/>
      <c r="L601" s="348"/>
    </row>
    <row r="602" spans="2:12">
      <c r="B602" s="345"/>
      <c r="C602" s="346"/>
      <c r="D602" s="273"/>
      <c r="E602" s="273"/>
      <c r="F602" s="273"/>
      <c r="G602" s="273"/>
      <c r="H602" s="347" t="str">
        <f t="shared" si="18"/>
        <v/>
      </c>
      <c r="I602" s="274" t="str">
        <f t="shared" si="19"/>
        <v/>
      </c>
      <c r="J602" s="335"/>
      <c r="K602" s="273"/>
      <c r="L602" s="348"/>
    </row>
    <row r="603" spans="2:12">
      <c r="B603" s="345"/>
      <c r="C603" s="346"/>
      <c r="D603" s="273"/>
      <c r="E603" s="273"/>
      <c r="F603" s="273"/>
      <c r="G603" s="273"/>
      <c r="H603" s="347" t="str">
        <f t="shared" si="18"/>
        <v/>
      </c>
      <c r="I603" s="274" t="str">
        <f t="shared" si="19"/>
        <v/>
      </c>
      <c r="J603" s="335"/>
      <c r="K603" s="273"/>
      <c r="L603" s="348"/>
    </row>
    <row r="604" spans="2:12">
      <c r="B604" s="345"/>
      <c r="C604" s="346"/>
      <c r="D604" s="273"/>
      <c r="E604" s="273"/>
      <c r="F604" s="273"/>
      <c r="G604" s="273"/>
      <c r="H604" s="347" t="str">
        <f t="shared" si="18"/>
        <v/>
      </c>
      <c r="I604" s="274" t="str">
        <f t="shared" si="19"/>
        <v/>
      </c>
      <c r="J604" s="335"/>
      <c r="K604" s="273"/>
      <c r="L604" s="348"/>
    </row>
    <row r="605" spans="2:12">
      <c r="B605" s="345"/>
      <c r="C605" s="346"/>
      <c r="D605" s="273"/>
      <c r="E605" s="273"/>
      <c r="F605" s="273"/>
      <c r="G605" s="273"/>
      <c r="H605" s="347" t="str">
        <f t="shared" si="18"/>
        <v/>
      </c>
      <c r="I605" s="274" t="str">
        <f t="shared" si="19"/>
        <v/>
      </c>
      <c r="J605" s="335"/>
      <c r="K605" s="273"/>
      <c r="L605" s="348"/>
    </row>
    <row r="606" spans="2:12">
      <c r="B606" s="345"/>
      <c r="C606" s="346"/>
      <c r="D606" s="273"/>
      <c r="E606" s="273"/>
      <c r="F606" s="273"/>
      <c r="G606" s="273"/>
      <c r="H606" s="347" t="str">
        <f t="shared" si="18"/>
        <v/>
      </c>
      <c r="I606" s="274" t="str">
        <f t="shared" si="19"/>
        <v/>
      </c>
      <c r="J606" s="335"/>
      <c r="K606" s="273"/>
      <c r="L606" s="348"/>
    </row>
    <row r="607" spans="2:12">
      <c r="B607" s="345"/>
      <c r="C607" s="346"/>
      <c r="D607" s="273"/>
      <c r="E607" s="273"/>
      <c r="F607" s="273"/>
      <c r="G607" s="273"/>
      <c r="H607" s="347" t="str">
        <f t="shared" si="18"/>
        <v/>
      </c>
      <c r="I607" s="274" t="str">
        <f t="shared" si="19"/>
        <v/>
      </c>
      <c r="J607" s="335"/>
      <c r="K607" s="273"/>
      <c r="L607" s="348"/>
    </row>
    <row r="608" spans="2:12">
      <c r="B608" s="345"/>
      <c r="C608" s="346"/>
      <c r="D608" s="273"/>
      <c r="E608" s="273"/>
      <c r="F608" s="273"/>
      <c r="G608" s="273"/>
      <c r="H608" s="347" t="str">
        <f t="shared" si="18"/>
        <v/>
      </c>
      <c r="I608" s="274" t="str">
        <f t="shared" si="19"/>
        <v/>
      </c>
      <c r="J608" s="335"/>
      <c r="K608" s="273"/>
      <c r="L608" s="348"/>
    </row>
    <row r="609" spans="2:12">
      <c r="B609" s="345"/>
      <c r="C609" s="346"/>
      <c r="D609" s="273"/>
      <c r="E609" s="273"/>
      <c r="F609" s="273"/>
      <c r="G609" s="273"/>
      <c r="H609" s="347" t="str">
        <f t="shared" si="18"/>
        <v/>
      </c>
      <c r="I609" s="274" t="str">
        <f t="shared" si="19"/>
        <v/>
      </c>
      <c r="J609" s="335"/>
      <c r="K609" s="273"/>
      <c r="L609" s="348"/>
    </row>
    <row r="610" spans="2:12">
      <c r="B610" s="345"/>
      <c r="C610" s="346"/>
      <c r="D610" s="273"/>
      <c r="E610" s="273"/>
      <c r="F610" s="273"/>
      <c r="G610" s="273"/>
      <c r="H610" s="347" t="str">
        <f t="shared" si="18"/>
        <v/>
      </c>
      <c r="I610" s="274" t="str">
        <f t="shared" si="19"/>
        <v/>
      </c>
      <c r="J610" s="335"/>
      <c r="K610" s="273"/>
      <c r="L610" s="348"/>
    </row>
    <row r="611" spans="2:12">
      <c r="B611" s="345"/>
      <c r="C611" s="346"/>
      <c r="D611" s="273"/>
      <c r="E611" s="273"/>
      <c r="F611" s="273"/>
      <c r="G611" s="273"/>
      <c r="H611" s="347" t="str">
        <f t="shared" si="18"/>
        <v/>
      </c>
      <c r="I611" s="274" t="str">
        <f t="shared" si="19"/>
        <v/>
      </c>
      <c r="J611" s="335"/>
      <c r="K611" s="273"/>
      <c r="L611" s="348"/>
    </row>
    <row r="612" spans="2:12">
      <c r="B612" s="345"/>
      <c r="C612" s="346"/>
      <c r="D612" s="273"/>
      <c r="E612" s="273"/>
      <c r="F612" s="273"/>
      <c r="G612" s="273"/>
      <c r="H612" s="347" t="str">
        <f t="shared" si="18"/>
        <v/>
      </c>
      <c r="I612" s="274" t="str">
        <f t="shared" si="19"/>
        <v/>
      </c>
      <c r="J612" s="335"/>
      <c r="K612" s="273"/>
      <c r="L612" s="348"/>
    </row>
    <row r="613" spans="2:12">
      <c r="B613" s="345"/>
      <c r="C613" s="346"/>
      <c r="D613" s="273"/>
      <c r="E613" s="273"/>
      <c r="F613" s="273"/>
      <c r="G613" s="273"/>
      <c r="H613" s="347" t="str">
        <f t="shared" si="18"/>
        <v/>
      </c>
      <c r="I613" s="274" t="str">
        <f t="shared" si="19"/>
        <v/>
      </c>
      <c r="J613" s="335"/>
      <c r="K613" s="273"/>
      <c r="L613" s="348"/>
    </row>
    <row r="614" spans="2:12">
      <c r="B614" s="345"/>
      <c r="C614" s="346"/>
      <c r="D614" s="273"/>
      <c r="E614" s="273"/>
      <c r="F614" s="273"/>
      <c r="G614" s="273"/>
      <c r="H614" s="347" t="str">
        <f t="shared" si="18"/>
        <v/>
      </c>
      <c r="I614" s="274" t="str">
        <f t="shared" si="19"/>
        <v/>
      </c>
      <c r="J614" s="335"/>
      <c r="K614" s="273"/>
      <c r="L614" s="348"/>
    </row>
    <row r="615" spans="2:12">
      <c r="B615" s="345"/>
      <c r="C615" s="346"/>
      <c r="D615" s="273"/>
      <c r="E615" s="273"/>
      <c r="F615" s="273"/>
      <c r="G615" s="273"/>
      <c r="H615" s="347" t="str">
        <f t="shared" si="18"/>
        <v/>
      </c>
      <c r="I615" s="274" t="str">
        <f t="shared" si="19"/>
        <v/>
      </c>
      <c r="J615" s="335"/>
      <c r="K615" s="273"/>
      <c r="L615" s="348"/>
    </row>
    <row r="616" spans="2:12">
      <c r="B616" s="345"/>
      <c r="C616" s="346"/>
      <c r="D616" s="273"/>
      <c r="E616" s="273"/>
      <c r="F616" s="273"/>
      <c r="G616" s="273"/>
      <c r="H616" s="347" t="str">
        <f t="shared" si="18"/>
        <v/>
      </c>
      <c r="I616" s="274" t="str">
        <f t="shared" si="19"/>
        <v/>
      </c>
      <c r="J616" s="335"/>
      <c r="K616" s="273"/>
      <c r="L616" s="348"/>
    </row>
    <row r="617" spans="2:12">
      <c r="B617" s="345"/>
      <c r="C617" s="346"/>
      <c r="D617" s="273"/>
      <c r="E617" s="273"/>
      <c r="F617" s="273"/>
      <c r="G617" s="273"/>
      <c r="H617" s="347" t="str">
        <f t="shared" si="18"/>
        <v/>
      </c>
      <c r="I617" s="274" t="str">
        <f t="shared" si="19"/>
        <v/>
      </c>
      <c r="J617" s="335"/>
      <c r="K617" s="273"/>
      <c r="L617" s="348"/>
    </row>
    <row r="618" spans="2:12">
      <c r="B618" s="345"/>
      <c r="C618" s="346"/>
      <c r="D618" s="273"/>
      <c r="E618" s="273"/>
      <c r="F618" s="273"/>
      <c r="G618" s="273"/>
      <c r="H618" s="347" t="str">
        <f t="shared" si="18"/>
        <v/>
      </c>
      <c r="I618" s="274" t="str">
        <f t="shared" si="19"/>
        <v/>
      </c>
      <c r="J618" s="335"/>
      <c r="K618" s="273"/>
      <c r="L618" s="348"/>
    </row>
    <row r="619" spans="2:12">
      <c r="B619" s="345"/>
      <c r="C619" s="346"/>
      <c r="D619" s="273"/>
      <c r="E619" s="273"/>
      <c r="F619" s="273"/>
      <c r="G619" s="273"/>
      <c r="H619" s="347" t="str">
        <f t="shared" si="18"/>
        <v/>
      </c>
      <c r="I619" s="274" t="str">
        <f t="shared" si="19"/>
        <v/>
      </c>
      <c r="J619" s="335"/>
      <c r="K619" s="273"/>
      <c r="L619" s="348"/>
    </row>
    <row r="620" spans="2:12">
      <c r="B620" s="345"/>
      <c r="C620" s="346"/>
      <c r="D620" s="273"/>
      <c r="E620" s="273"/>
      <c r="F620" s="273"/>
      <c r="G620" s="273"/>
      <c r="H620" s="347" t="str">
        <f t="shared" si="18"/>
        <v/>
      </c>
      <c r="I620" s="274" t="str">
        <f t="shared" si="19"/>
        <v/>
      </c>
      <c r="J620" s="335"/>
      <c r="K620" s="273"/>
      <c r="L620" s="348"/>
    </row>
    <row r="621" spans="2:12">
      <c r="B621" s="345"/>
      <c r="C621" s="346"/>
      <c r="D621" s="273"/>
      <c r="E621" s="273"/>
      <c r="F621" s="273"/>
      <c r="G621" s="273"/>
      <c r="H621" s="347" t="str">
        <f t="shared" si="18"/>
        <v/>
      </c>
      <c r="I621" s="274" t="str">
        <f t="shared" si="19"/>
        <v/>
      </c>
      <c r="J621" s="335"/>
      <c r="K621" s="273"/>
      <c r="L621" s="348"/>
    </row>
    <row r="622" spans="2:12">
      <c r="B622" s="345"/>
      <c r="C622" s="346"/>
      <c r="D622" s="273"/>
      <c r="E622" s="273"/>
      <c r="F622" s="273"/>
      <c r="G622" s="273"/>
      <c r="H622" s="347" t="str">
        <f t="shared" si="18"/>
        <v/>
      </c>
      <c r="I622" s="274" t="str">
        <f t="shared" si="19"/>
        <v/>
      </c>
      <c r="J622" s="335"/>
      <c r="K622" s="273"/>
      <c r="L622" s="348"/>
    </row>
    <row r="623" spans="2:12">
      <c r="B623" s="345"/>
      <c r="C623" s="346"/>
      <c r="D623" s="273"/>
      <c r="E623" s="273"/>
      <c r="F623" s="273"/>
      <c r="G623" s="273"/>
      <c r="H623" s="347" t="str">
        <f t="shared" si="18"/>
        <v/>
      </c>
      <c r="I623" s="274" t="str">
        <f t="shared" si="19"/>
        <v/>
      </c>
      <c r="J623" s="335"/>
      <c r="K623" s="273"/>
      <c r="L623" s="348"/>
    </row>
    <row r="624" spans="2:12">
      <c r="B624" s="345"/>
      <c r="C624" s="346"/>
      <c r="D624" s="273"/>
      <c r="E624" s="273"/>
      <c r="F624" s="273"/>
      <c r="G624" s="273"/>
      <c r="H624" s="347" t="str">
        <f t="shared" si="18"/>
        <v/>
      </c>
      <c r="I624" s="274" t="str">
        <f t="shared" si="19"/>
        <v/>
      </c>
      <c r="J624" s="335"/>
      <c r="K624" s="273"/>
      <c r="L624" s="348"/>
    </row>
    <row r="625" spans="2:12">
      <c r="B625" s="345"/>
      <c r="C625" s="346"/>
      <c r="D625" s="273"/>
      <c r="E625" s="273"/>
      <c r="F625" s="273"/>
      <c r="G625" s="273"/>
      <c r="H625" s="347" t="str">
        <f t="shared" si="18"/>
        <v/>
      </c>
      <c r="I625" s="274" t="str">
        <f t="shared" si="19"/>
        <v/>
      </c>
      <c r="J625" s="335"/>
      <c r="K625" s="273"/>
      <c r="L625" s="348"/>
    </row>
    <row r="626" spans="2:12">
      <c r="B626" s="345"/>
      <c r="C626" s="346"/>
      <c r="D626" s="273"/>
      <c r="E626" s="273"/>
      <c r="F626" s="273"/>
      <c r="G626" s="273"/>
      <c r="H626" s="347" t="str">
        <f t="shared" si="18"/>
        <v/>
      </c>
      <c r="I626" s="274" t="str">
        <f t="shared" si="19"/>
        <v/>
      </c>
      <c r="J626" s="335"/>
      <c r="K626" s="273"/>
      <c r="L626" s="348"/>
    </row>
    <row r="627" spans="2:12">
      <c r="B627" s="345"/>
      <c r="C627" s="346"/>
      <c r="D627" s="273"/>
      <c r="E627" s="273"/>
      <c r="F627" s="273"/>
      <c r="G627" s="273"/>
      <c r="H627" s="347" t="str">
        <f t="shared" si="18"/>
        <v/>
      </c>
      <c r="I627" s="274" t="str">
        <f t="shared" si="19"/>
        <v/>
      </c>
      <c r="J627" s="335"/>
      <c r="K627" s="273"/>
      <c r="L627" s="348"/>
    </row>
    <row r="628" spans="2:12">
      <c r="B628" s="345"/>
      <c r="C628" s="346"/>
      <c r="D628" s="273"/>
      <c r="E628" s="273"/>
      <c r="F628" s="273"/>
      <c r="G628" s="273"/>
      <c r="H628" s="347" t="str">
        <f t="shared" si="18"/>
        <v/>
      </c>
      <c r="I628" s="274" t="str">
        <f t="shared" si="19"/>
        <v/>
      </c>
      <c r="J628" s="335"/>
      <c r="K628" s="273"/>
      <c r="L628" s="348"/>
    </row>
    <row r="629" spans="2:12">
      <c r="B629" s="345"/>
      <c r="C629" s="346"/>
      <c r="D629" s="273"/>
      <c r="E629" s="273"/>
      <c r="F629" s="273"/>
      <c r="G629" s="273"/>
      <c r="H629" s="347" t="str">
        <f t="shared" si="18"/>
        <v/>
      </c>
      <c r="I629" s="274" t="str">
        <f t="shared" si="19"/>
        <v/>
      </c>
      <c r="J629" s="335"/>
      <c r="K629" s="273"/>
      <c r="L629" s="348"/>
    </row>
    <row r="630" spans="2:12">
      <c r="B630" s="345"/>
      <c r="C630" s="346"/>
      <c r="D630" s="273"/>
      <c r="E630" s="273"/>
      <c r="F630" s="273"/>
      <c r="G630" s="273"/>
      <c r="H630" s="347" t="str">
        <f t="shared" si="18"/>
        <v/>
      </c>
      <c r="I630" s="274" t="str">
        <f t="shared" si="19"/>
        <v/>
      </c>
      <c r="J630" s="335"/>
      <c r="K630" s="273"/>
      <c r="L630" s="348"/>
    </row>
    <row r="631" spans="2:12">
      <c r="B631" s="345"/>
      <c r="C631" s="346"/>
      <c r="D631" s="273"/>
      <c r="E631" s="273"/>
      <c r="F631" s="273"/>
      <c r="G631" s="273"/>
      <c r="H631" s="347" t="str">
        <f t="shared" si="18"/>
        <v/>
      </c>
      <c r="I631" s="274" t="str">
        <f t="shared" si="19"/>
        <v/>
      </c>
      <c r="J631" s="335"/>
      <c r="K631" s="273"/>
      <c r="L631" s="348"/>
    </row>
    <row r="632" spans="2:12">
      <c r="B632" s="345"/>
      <c r="C632" s="346"/>
      <c r="D632" s="273"/>
      <c r="E632" s="273"/>
      <c r="F632" s="273"/>
      <c r="G632" s="273"/>
      <c r="H632" s="347" t="str">
        <f t="shared" si="18"/>
        <v/>
      </c>
      <c r="I632" s="274" t="str">
        <f t="shared" si="19"/>
        <v/>
      </c>
      <c r="J632" s="335"/>
      <c r="K632" s="273"/>
      <c r="L632" s="348"/>
    </row>
    <row r="633" spans="2:12">
      <c r="B633" s="345"/>
      <c r="C633" s="346"/>
      <c r="D633" s="273"/>
      <c r="E633" s="273"/>
      <c r="F633" s="273"/>
      <c r="G633" s="273"/>
      <c r="H633" s="347" t="str">
        <f t="shared" si="18"/>
        <v/>
      </c>
      <c r="I633" s="274" t="str">
        <f t="shared" si="19"/>
        <v/>
      </c>
      <c r="J633" s="335"/>
      <c r="K633" s="273"/>
      <c r="L633" s="348"/>
    </row>
    <row r="634" spans="2:12">
      <c r="B634" s="345"/>
      <c r="C634" s="346"/>
      <c r="D634" s="273"/>
      <c r="E634" s="273"/>
      <c r="F634" s="273"/>
      <c r="G634" s="273"/>
      <c r="H634" s="347" t="str">
        <f t="shared" si="18"/>
        <v/>
      </c>
      <c r="I634" s="274" t="str">
        <f t="shared" si="19"/>
        <v/>
      </c>
      <c r="J634" s="335"/>
      <c r="K634" s="273"/>
      <c r="L634" s="348"/>
    </row>
    <row r="635" spans="2:12">
      <c r="B635" s="345"/>
      <c r="C635" s="346"/>
      <c r="D635" s="273"/>
      <c r="E635" s="273"/>
      <c r="F635" s="273"/>
      <c r="G635" s="273"/>
      <c r="H635" s="347" t="str">
        <f t="shared" si="18"/>
        <v/>
      </c>
      <c r="I635" s="274" t="str">
        <f t="shared" si="19"/>
        <v/>
      </c>
      <c r="J635" s="335"/>
      <c r="K635" s="273"/>
      <c r="L635" s="348"/>
    </row>
    <row r="636" spans="2:12">
      <c r="B636" s="345"/>
      <c r="C636" s="346"/>
      <c r="D636" s="273"/>
      <c r="E636" s="273"/>
      <c r="F636" s="273"/>
      <c r="G636" s="273"/>
      <c r="H636" s="347" t="str">
        <f t="shared" si="18"/>
        <v/>
      </c>
      <c r="I636" s="274" t="str">
        <f t="shared" si="19"/>
        <v/>
      </c>
      <c r="J636" s="335"/>
      <c r="K636" s="273"/>
      <c r="L636" s="348"/>
    </row>
    <row r="637" spans="2:12">
      <c r="B637" s="345"/>
      <c r="C637" s="346"/>
      <c r="D637" s="273"/>
      <c r="E637" s="273"/>
      <c r="F637" s="273"/>
      <c r="G637" s="273"/>
      <c r="H637" s="347" t="str">
        <f t="shared" si="18"/>
        <v/>
      </c>
      <c r="I637" s="274" t="str">
        <f t="shared" si="19"/>
        <v/>
      </c>
      <c r="J637" s="335"/>
      <c r="K637" s="273"/>
      <c r="L637" s="348"/>
    </row>
    <row r="638" spans="2:12">
      <c r="B638" s="345"/>
      <c r="C638" s="346"/>
      <c r="D638" s="273"/>
      <c r="E638" s="273"/>
      <c r="F638" s="273"/>
      <c r="G638" s="273"/>
      <c r="H638" s="347" t="str">
        <f t="shared" si="18"/>
        <v/>
      </c>
      <c r="I638" s="274" t="str">
        <f t="shared" si="19"/>
        <v/>
      </c>
      <c r="J638" s="335"/>
      <c r="K638" s="273"/>
      <c r="L638" s="348"/>
    </row>
    <row r="639" spans="2:12">
      <c r="B639" s="345"/>
      <c r="C639" s="346"/>
      <c r="D639" s="273"/>
      <c r="E639" s="273"/>
      <c r="F639" s="273"/>
      <c r="G639" s="273"/>
      <c r="H639" s="347" t="str">
        <f t="shared" si="18"/>
        <v/>
      </c>
      <c r="I639" s="274" t="str">
        <f t="shared" si="19"/>
        <v/>
      </c>
      <c r="J639" s="335"/>
      <c r="K639" s="273"/>
      <c r="L639" s="348"/>
    </row>
    <row r="640" spans="2:12">
      <c r="B640" s="345"/>
      <c r="C640" s="346"/>
      <c r="D640" s="273"/>
      <c r="E640" s="273"/>
      <c r="F640" s="273"/>
      <c r="G640" s="273"/>
      <c r="H640" s="347" t="str">
        <f t="shared" si="18"/>
        <v/>
      </c>
      <c r="I640" s="274" t="str">
        <f t="shared" si="19"/>
        <v/>
      </c>
      <c r="J640" s="335"/>
      <c r="K640" s="273"/>
      <c r="L640" s="348"/>
    </row>
    <row r="641" spans="2:12">
      <c r="B641" s="345"/>
      <c r="C641" s="346"/>
      <c r="D641" s="273"/>
      <c r="E641" s="273"/>
      <c r="F641" s="273"/>
      <c r="G641" s="273"/>
      <c r="H641" s="347" t="str">
        <f t="shared" si="18"/>
        <v/>
      </c>
      <c r="I641" s="274" t="str">
        <f t="shared" si="19"/>
        <v/>
      </c>
      <c r="J641" s="335"/>
      <c r="K641" s="273"/>
      <c r="L641" s="348"/>
    </row>
    <row r="642" spans="2:12">
      <c r="B642" s="345"/>
      <c r="C642" s="346"/>
      <c r="D642" s="273"/>
      <c r="E642" s="273"/>
      <c r="F642" s="273"/>
      <c r="G642" s="273"/>
      <c r="H642" s="347" t="str">
        <f t="shared" si="18"/>
        <v/>
      </c>
      <c r="I642" s="274" t="str">
        <f t="shared" si="19"/>
        <v/>
      </c>
      <c r="J642" s="335"/>
      <c r="K642" s="273"/>
      <c r="L642" s="348"/>
    </row>
    <row r="643" spans="2:12">
      <c r="B643" s="345"/>
      <c r="C643" s="346"/>
      <c r="D643" s="273"/>
      <c r="E643" s="273"/>
      <c r="F643" s="273"/>
      <c r="G643" s="273"/>
      <c r="H643" s="347" t="str">
        <f t="shared" si="18"/>
        <v/>
      </c>
      <c r="I643" s="274" t="str">
        <f t="shared" si="19"/>
        <v/>
      </c>
      <c r="J643" s="335"/>
      <c r="K643" s="273"/>
      <c r="L643" s="348"/>
    </row>
    <row r="644" spans="2:12">
      <c r="B644" s="345"/>
      <c r="C644" s="346"/>
      <c r="D644" s="273"/>
      <c r="E644" s="273"/>
      <c r="F644" s="273"/>
      <c r="G644" s="273"/>
      <c r="H644" s="347" t="str">
        <f t="shared" si="18"/>
        <v/>
      </c>
      <c r="I644" s="274" t="str">
        <f t="shared" si="19"/>
        <v/>
      </c>
      <c r="J644" s="335"/>
      <c r="K644" s="273"/>
      <c r="L644" s="348"/>
    </row>
    <row r="645" spans="2:12">
      <c r="B645" s="345"/>
      <c r="C645" s="346"/>
      <c r="D645" s="273"/>
      <c r="E645" s="273"/>
      <c r="F645" s="273"/>
      <c r="G645" s="273"/>
      <c r="H645" s="347" t="str">
        <f t="shared" si="18"/>
        <v/>
      </c>
      <c r="I645" s="274" t="str">
        <f t="shared" si="19"/>
        <v/>
      </c>
      <c r="J645" s="335"/>
      <c r="K645" s="273"/>
      <c r="L645" s="348"/>
    </row>
    <row r="646" spans="2:12">
      <c r="B646" s="345"/>
      <c r="C646" s="346"/>
      <c r="D646" s="273"/>
      <c r="E646" s="273"/>
      <c r="F646" s="273"/>
      <c r="G646" s="273"/>
      <c r="H646" s="347" t="str">
        <f t="shared" si="18"/>
        <v/>
      </c>
      <c r="I646" s="274" t="str">
        <f t="shared" si="19"/>
        <v/>
      </c>
      <c r="J646" s="335"/>
      <c r="K646" s="273"/>
      <c r="L646" s="348"/>
    </row>
    <row r="647" spans="2:12">
      <c r="B647" s="345"/>
      <c r="C647" s="346"/>
      <c r="D647" s="273"/>
      <c r="E647" s="273"/>
      <c r="F647" s="273"/>
      <c r="G647" s="273"/>
      <c r="H647" s="347" t="str">
        <f t="shared" si="18"/>
        <v/>
      </c>
      <c r="I647" s="274" t="str">
        <f t="shared" si="19"/>
        <v/>
      </c>
      <c r="J647" s="335"/>
      <c r="K647" s="273"/>
      <c r="L647" s="348"/>
    </row>
    <row r="648" spans="2:12">
      <c r="B648" s="345"/>
      <c r="C648" s="346"/>
      <c r="D648" s="273"/>
      <c r="E648" s="273"/>
      <c r="F648" s="273"/>
      <c r="G648" s="273"/>
      <c r="H648" s="347" t="str">
        <f t="shared" si="18"/>
        <v/>
      </c>
      <c r="I648" s="274" t="str">
        <f t="shared" si="19"/>
        <v/>
      </c>
      <c r="J648" s="335"/>
      <c r="K648" s="273"/>
      <c r="L648" s="348"/>
    </row>
    <row r="649" spans="2:12">
      <c r="B649" s="345"/>
      <c r="C649" s="346"/>
      <c r="D649" s="273"/>
      <c r="E649" s="273"/>
      <c r="F649" s="273"/>
      <c r="G649" s="273"/>
      <c r="H649" s="347" t="str">
        <f t="shared" si="18"/>
        <v/>
      </c>
      <c r="I649" s="274" t="str">
        <f t="shared" si="19"/>
        <v/>
      </c>
      <c r="J649" s="335"/>
      <c r="K649" s="273"/>
      <c r="L649" s="348"/>
    </row>
    <row r="650" spans="2:12">
      <c r="B650" s="345"/>
      <c r="C650" s="346"/>
      <c r="D650" s="273"/>
      <c r="E650" s="273"/>
      <c r="F650" s="273"/>
      <c r="G650" s="273"/>
      <c r="H650" s="347" t="str">
        <f t="shared" si="18"/>
        <v/>
      </c>
      <c r="I650" s="274" t="str">
        <f t="shared" si="19"/>
        <v/>
      </c>
      <c r="J650" s="335"/>
      <c r="K650" s="273"/>
      <c r="L650" s="348"/>
    </row>
    <row r="651" spans="2:12">
      <c r="B651" s="345"/>
      <c r="C651" s="346"/>
      <c r="D651" s="273"/>
      <c r="E651" s="273"/>
      <c r="F651" s="273"/>
      <c r="G651" s="273"/>
      <c r="H651" s="347" t="str">
        <f t="shared" ref="H651:H714" si="20">IF(G651="Large","NRS",IF(G651="International","FRS",IF(G651="SME - Medium","SME",IF(G651="SME - Micro","SME",IF(G651="SME - Small","SME","")))))</f>
        <v/>
      </c>
      <c r="I651" s="274" t="str">
        <f t="shared" ref="I651:I714" si="21">IF(H651="FRS","No","")</f>
        <v/>
      </c>
      <c r="J651" s="335"/>
      <c r="K651" s="273"/>
      <c r="L651" s="348"/>
    </row>
    <row r="652" spans="2:12">
      <c r="B652" s="345"/>
      <c r="C652" s="346"/>
      <c r="D652" s="273"/>
      <c r="E652" s="273"/>
      <c r="F652" s="273"/>
      <c r="G652" s="273"/>
      <c r="H652" s="347" t="str">
        <f t="shared" si="20"/>
        <v/>
      </c>
      <c r="I652" s="274" t="str">
        <f t="shared" si="21"/>
        <v/>
      </c>
      <c r="J652" s="335"/>
      <c r="K652" s="273"/>
      <c r="L652" s="348"/>
    </row>
    <row r="653" spans="2:12">
      <c r="B653" s="345"/>
      <c r="C653" s="346"/>
      <c r="D653" s="273"/>
      <c r="E653" s="273"/>
      <c r="F653" s="273"/>
      <c r="G653" s="273"/>
      <c r="H653" s="347" t="str">
        <f t="shared" si="20"/>
        <v/>
      </c>
      <c r="I653" s="274" t="str">
        <f t="shared" si="21"/>
        <v/>
      </c>
      <c r="J653" s="335"/>
      <c r="K653" s="273"/>
      <c r="L653" s="348"/>
    </row>
    <row r="654" spans="2:12">
      <c r="B654" s="345"/>
      <c r="C654" s="346"/>
      <c r="D654" s="273"/>
      <c r="E654" s="273"/>
      <c r="F654" s="273"/>
      <c r="G654" s="273"/>
      <c r="H654" s="347" t="str">
        <f t="shared" si="20"/>
        <v/>
      </c>
      <c r="I654" s="274" t="str">
        <f t="shared" si="21"/>
        <v/>
      </c>
      <c r="J654" s="335"/>
      <c r="K654" s="273"/>
      <c r="L654" s="348"/>
    </row>
    <row r="655" spans="2:12">
      <c r="B655" s="345"/>
      <c r="C655" s="346"/>
      <c r="D655" s="273"/>
      <c r="E655" s="273"/>
      <c r="F655" s="273"/>
      <c r="G655" s="273"/>
      <c r="H655" s="347" t="str">
        <f t="shared" si="20"/>
        <v/>
      </c>
      <c r="I655" s="274" t="str">
        <f t="shared" si="21"/>
        <v/>
      </c>
      <c r="J655" s="335"/>
      <c r="K655" s="273"/>
      <c r="L655" s="348"/>
    </row>
    <row r="656" spans="2:12">
      <c r="B656" s="345"/>
      <c r="C656" s="346"/>
      <c r="D656" s="273"/>
      <c r="E656" s="273"/>
      <c r="F656" s="273"/>
      <c r="G656" s="273"/>
      <c r="H656" s="347" t="str">
        <f t="shared" si="20"/>
        <v/>
      </c>
      <c r="I656" s="274" t="str">
        <f t="shared" si="21"/>
        <v/>
      </c>
      <c r="J656" s="335"/>
      <c r="K656" s="273"/>
      <c r="L656" s="348"/>
    </row>
    <row r="657" spans="2:12">
      <c r="B657" s="345"/>
      <c r="C657" s="346"/>
      <c r="D657" s="273"/>
      <c r="E657" s="273"/>
      <c r="F657" s="273"/>
      <c r="G657" s="273"/>
      <c r="H657" s="347" t="str">
        <f t="shared" si="20"/>
        <v/>
      </c>
      <c r="I657" s="274" t="str">
        <f t="shared" si="21"/>
        <v/>
      </c>
      <c r="J657" s="335"/>
      <c r="K657" s="273"/>
      <c r="L657" s="348"/>
    </row>
    <row r="658" spans="2:12">
      <c r="B658" s="345"/>
      <c r="C658" s="346"/>
      <c r="D658" s="273"/>
      <c r="E658" s="273"/>
      <c r="F658" s="273"/>
      <c r="G658" s="273"/>
      <c r="H658" s="347" t="str">
        <f t="shared" si="20"/>
        <v/>
      </c>
      <c r="I658" s="274" t="str">
        <f t="shared" si="21"/>
        <v/>
      </c>
      <c r="J658" s="335"/>
      <c r="K658" s="273"/>
      <c r="L658" s="348"/>
    </row>
    <row r="659" spans="2:12">
      <c r="B659" s="345"/>
      <c r="C659" s="346"/>
      <c r="D659" s="273"/>
      <c r="E659" s="273"/>
      <c r="F659" s="273"/>
      <c r="G659" s="273"/>
      <c r="H659" s="347" t="str">
        <f t="shared" si="20"/>
        <v/>
      </c>
      <c r="I659" s="274" t="str">
        <f t="shared" si="21"/>
        <v/>
      </c>
      <c r="J659" s="335"/>
      <c r="K659" s="273"/>
      <c r="L659" s="348"/>
    </row>
    <row r="660" spans="2:12">
      <c r="B660" s="345"/>
      <c r="C660" s="346"/>
      <c r="D660" s="273"/>
      <c r="E660" s="273"/>
      <c r="F660" s="273"/>
      <c r="G660" s="273"/>
      <c r="H660" s="347" t="str">
        <f t="shared" si="20"/>
        <v/>
      </c>
      <c r="I660" s="274" t="str">
        <f t="shared" si="21"/>
        <v/>
      </c>
      <c r="J660" s="335"/>
      <c r="K660" s="273"/>
      <c r="L660" s="348"/>
    </row>
    <row r="661" spans="2:12">
      <c r="B661" s="345"/>
      <c r="C661" s="346"/>
      <c r="D661" s="273"/>
      <c r="E661" s="273"/>
      <c r="F661" s="273"/>
      <c r="G661" s="273"/>
      <c r="H661" s="347" t="str">
        <f t="shared" si="20"/>
        <v/>
      </c>
      <c r="I661" s="274" t="str">
        <f t="shared" si="21"/>
        <v/>
      </c>
      <c r="J661" s="335"/>
      <c r="K661" s="273"/>
      <c r="L661" s="348"/>
    </row>
    <row r="662" spans="2:12">
      <c r="B662" s="345"/>
      <c r="C662" s="346"/>
      <c r="D662" s="273"/>
      <c r="E662" s="273"/>
      <c r="F662" s="273"/>
      <c r="G662" s="273"/>
      <c r="H662" s="347" t="str">
        <f t="shared" si="20"/>
        <v/>
      </c>
      <c r="I662" s="274" t="str">
        <f t="shared" si="21"/>
        <v/>
      </c>
      <c r="J662" s="335"/>
      <c r="K662" s="273"/>
      <c r="L662" s="348"/>
    </row>
    <row r="663" spans="2:12">
      <c r="B663" s="345"/>
      <c r="C663" s="346"/>
      <c r="D663" s="273"/>
      <c r="E663" s="273"/>
      <c r="F663" s="273"/>
      <c r="G663" s="273"/>
      <c r="H663" s="347" t="str">
        <f t="shared" si="20"/>
        <v/>
      </c>
      <c r="I663" s="274" t="str">
        <f t="shared" si="21"/>
        <v/>
      </c>
      <c r="J663" s="335"/>
      <c r="K663" s="273"/>
      <c r="L663" s="348"/>
    </row>
    <row r="664" spans="2:12">
      <c r="B664" s="345"/>
      <c r="C664" s="346"/>
      <c r="D664" s="273"/>
      <c r="E664" s="273"/>
      <c r="F664" s="273"/>
      <c r="G664" s="273"/>
      <c r="H664" s="347" t="str">
        <f t="shared" si="20"/>
        <v/>
      </c>
      <c r="I664" s="274" t="str">
        <f t="shared" si="21"/>
        <v/>
      </c>
      <c r="J664" s="335"/>
      <c r="K664" s="273"/>
      <c r="L664" s="348"/>
    </row>
    <row r="665" spans="2:12">
      <c r="B665" s="345"/>
      <c r="C665" s="346"/>
      <c r="D665" s="273"/>
      <c r="E665" s="273"/>
      <c r="F665" s="273"/>
      <c r="G665" s="273"/>
      <c r="H665" s="347" t="str">
        <f t="shared" si="20"/>
        <v/>
      </c>
      <c r="I665" s="274" t="str">
        <f t="shared" si="21"/>
        <v/>
      </c>
      <c r="J665" s="335"/>
      <c r="K665" s="273"/>
      <c r="L665" s="348"/>
    </row>
    <row r="666" spans="2:12">
      <c r="B666" s="345"/>
      <c r="C666" s="346"/>
      <c r="D666" s="273"/>
      <c r="E666" s="273"/>
      <c r="F666" s="273"/>
      <c r="G666" s="273"/>
      <c r="H666" s="347" t="str">
        <f t="shared" si="20"/>
        <v/>
      </c>
      <c r="I666" s="274" t="str">
        <f t="shared" si="21"/>
        <v/>
      </c>
      <c r="J666" s="335"/>
      <c r="K666" s="273"/>
      <c r="L666" s="348"/>
    </row>
    <row r="667" spans="2:12">
      <c r="B667" s="345"/>
      <c r="C667" s="346"/>
      <c r="D667" s="273"/>
      <c r="E667" s="273"/>
      <c r="F667" s="273"/>
      <c r="G667" s="273"/>
      <c r="H667" s="347" t="str">
        <f t="shared" si="20"/>
        <v/>
      </c>
      <c r="I667" s="274" t="str">
        <f t="shared" si="21"/>
        <v/>
      </c>
      <c r="J667" s="335"/>
      <c r="K667" s="273"/>
      <c r="L667" s="348"/>
    </row>
    <row r="668" spans="2:12">
      <c r="B668" s="345"/>
      <c r="C668" s="346"/>
      <c r="D668" s="273"/>
      <c r="E668" s="273"/>
      <c r="F668" s="273"/>
      <c r="G668" s="273"/>
      <c r="H668" s="347" t="str">
        <f t="shared" si="20"/>
        <v/>
      </c>
      <c r="I668" s="274" t="str">
        <f t="shared" si="21"/>
        <v/>
      </c>
      <c r="J668" s="335"/>
      <c r="K668" s="273"/>
      <c r="L668" s="348"/>
    </row>
    <row r="669" spans="2:12">
      <c r="B669" s="345"/>
      <c r="C669" s="346"/>
      <c r="D669" s="273"/>
      <c r="E669" s="273"/>
      <c r="F669" s="273"/>
      <c r="G669" s="273"/>
      <c r="H669" s="347" t="str">
        <f t="shared" si="20"/>
        <v/>
      </c>
      <c r="I669" s="274" t="str">
        <f t="shared" si="21"/>
        <v/>
      </c>
      <c r="J669" s="335"/>
      <c r="K669" s="273"/>
      <c r="L669" s="348"/>
    </row>
    <row r="670" spans="2:12">
      <c r="B670" s="345"/>
      <c r="C670" s="346"/>
      <c r="D670" s="273"/>
      <c r="E670" s="273"/>
      <c r="F670" s="273"/>
      <c r="G670" s="273"/>
      <c r="H670" s="347" t="str">
        <f t="shared" si="20"/>
        <v/>
      </c>
      <c r="I670" s="274" t="str">
        <f t="shared" si="21"/>
        <v/>
      </c>
      <c r="J670" s="335"/>
      <c r="K670" s="273"/>
      <c r="L670" s="348"/>
    </row>
    <row r="671" spans="2:12">
      <c r="B671" s="345"/>
      <c r="C671" s="346"/>
      <c r="D671" s="273"/>
      <c r="E671" s="273"/>
      <c r="F671" s="273"/>
      <c r="G671" s="273"/>
      <c r="H671" s="347" t="str">
        <f t="shared" si="20"/>
        <v/>
      </c>
      <c r="I671" s="274" t="str">
        <f t="shared" si="21"/>
        <v/>
      </c>
      <c r="J671" s="335"/>
      <c r="K671" s="273"/>
      <c r="L671" s="348"/>
    </row>
    <row r="672" spans="2:12">
      <c r="B672" s="345"/>
      <c r="C672" s="346"/>
      <c r="D672" s="273"/>
      <c r="E672" s="273"/>
      <c r="F672" s="273"/>
      <c r="G672" s="273"/>
      <c r="H672" s="347" t="str">
        <f t="shared" si="20"/>
        <v/>
      </c>
      <c r="I672" s="274" t="str">
        <f t="shared" si="21"/>
        <v/>
      </c>
      <c r="J672" s="335"/>
      <c r="K672" s="273"/>
      <c r="L672" s="348"/>
    </row>
    <row r="673" spans="2:12">
      <c r="B673" s="345"/>
      <c r="C673" s="346"/>
      <c r="D673" s="273"/>
      <c r="E673" s="273"/>
      <c r="F673" s="273"/>
      <c r="G673" s="273"/>
      <c r="H673" s="347" t="str">
        <f t="shared" si="20"/>
        <v/>
      </c>
      <c r="I673" s="274" t="str">
        <f t="shared" si="21"/>
        <v/>
      </c>
      <c r="J673" s="335"/>
      <c r="K673" s="273"/>
      <c r="L673" s="348"/>
    </row>
    <row r="674" spans="2:12">
      <c r="B674" s="345"/>
      <c r="C674" s="346"/>
      <c r="D674" s="273"/>
      <c r="E674" s="273"/>
      <c r="F674" s="273"/>
      <c r="G674" s="273"/>
      <c r="H674" s="347" t="str">
        <f t="shared" si="20"/>
        <v/>
      </c>
      <c r="I674" s="274" t="str">
        <f t="shared" si="21"/>
        <v/>
      </c>
      <c r="J674" s="335"/>
      <c r="K674" s="273"/>
      <c r="L674" s="348"/>
    </row>
    <row r="675" spans="2:12">
      <c r="B675" s="345"/>
      <c r="C675" s="346"/>
      <c r="D675" s="273"/>
      <c r="E675" s="273"/>
      <c r="F675" s="273"/>
      <c r="G675" s="273"/>
      <c r="H675" s="347" t="str">
        <f t="shared" si="20"/>
        <v/>
      </c>
      <c r="I675" s="274" t="str">
        <f t="shared" si="21"/>
        <v/>
      </c>
      <c r="J675" s="335"/>
      <c r="K675" s="273"/>
      <c r="L675" s="348"/>
    </row>
    <row r="676" spans="2:12">
      <c r="B676" s="345"/>
      <c r="C676" s="346"/>
      <c r="D676" s="273"/>
      <c r="E676" s="273"/>
      <c r="F676" s="273"/>
      <c r="G676" s="273"/>
      <c r="H676" s="347" t="str">
        <f t="shared" si="20"/>
        <v/>
      </c>
      <c r="I676" s="274" t="str">
        <f t="shared" si="21"/>
        <v/>
      </c>
      <c r="J676" s="335"/>
      <c r="K676" s="273"/>
      <c r="L676" s="348"/>
    </row>
    <row r="677" spans="2:12">
      <c r="B677" s="345"/>
      <c r="C677" s="346"/>
      <c r="D677" s="273"/>
      <c r="E677" s="273"/>
      <c r="F677" s="273"/>
      <c r="G677" s="273"/>
      <c r="H677" s="347" t="str">
        <f t="shared" si="20"/>
        <v/>
      </c>
      <c r="I677" s="274" t="str">
        <f t="shared" si="21"/>
        <v/>
      </c>
      <c r="J677" s="335"/>
      <c r="K677" s="273"/>
      <c r="L677" s="348"/>
    </row>
    <row r="678" spans="2:12">
      <c r="B678" s="345"/>
      <c r="C678" s="346"/>
      <c r="D678" s="273"/>
      <c r="E678" s="273"/>
      <c r="F678" s="273"/>
      <c r="G678" s="273"/>
      <c r="H678" s="347" t="str">
        <f t="shared" si="20"/>
        <v/>
      </c>
      <c r="I678" s="274" t="str">
        <f t="shared" si="21"/>
        <v/>
      </c>
      <c r="J678" s="335"/>
      <c r="K678" s="273"/>
      <c r="L678" s="348"/>
    </row>
    <row r="679" spans="2:12">
      <c r="B679" s="345"/>
      <c r="C679" s="346"/>
      <c r="D679" s="273"/>
      <c r="E679" s="273"/>
      <c r="F679" s="273"/>
      <c r="G679" s="273"/>
      <c r="H679" s="347" t="str">
        <f t="shared" si="20"/>
        <v/>
      </c>
      <c r="I679" s="274" t="str">
        <f t="shared" si="21"/>
        <v/>
      </c>
      <c r="J679" s="335"/>
      <c r="K679" s="273"/>
      <c r="L679" s="348"/>
    </row>
    <row r="680" spans="2:12">
      <c r="B680" s="345"/>
      <c r="C680" s="346"/>
      <c r="D680" s="273"/>
      <c r="E680" s="273"/>
      <c r="F680" s="273"/>
      <c r="G680" s="273"/>
      <c r="H680" s="347" t="str">
        <f t="shared" si="20"/>
        <v/>
      </c>
      <c r="I680" s="274" t="str">
        <f t="shared" si="21"/>
        <v/>
      </c>
      <c r="J680" s="335"/>
      <c r="K680" s="273"/>
      <c r="L680" s="348"/>
    </row>
    <row r="681" spans="2:12">
      <c r="B681" s="345"/>
      <c r="C681" s="346"/>
      <c r="D681" s="273"/>
      <c r="E681" s="273"/>
      <c r="F681" s="273"/>
      <c r="G681" s="273"/>
      <c r="H681" s="347" t="str">
        <f t="shared" si="20"/>
        <v/>
      </c>
      <c r="I681" s="274" t="str">
        <f t="shared" si="21"/>
        <v/>
      </c>
      <c r="J681" s="335"/>
      <c r="K681" s="273"/>
      <c r="L681" s="348"/>
    </row>
    <row r="682" spans="2:12">
      <c r="B682" s="345"/>
      <c r="C682" s="346"/>
      <c r="D682" s="273"/>
      <c r="E682" s="273"/>
      <c r="F682" s="273"/>
      <c r="G682" s="273"/>
      <c r="H682" s="347" t="str">
        <f t="shared" si="20"/>
        <v/>
      </c>
      <c r="I682" s="274" t="str">
        <f t="shared" si="21"/>
        <v/>
      </c>
      <c r="J682" s="335"/>
      <c r="K682" s="273"/>
      <c r="L682" s="348"/>
    </row>
    <row r="683" spans="2:12">
      <c r="B683" s="345"/>
      <c r="C683" s="346"/>
      <c r="D683" s="273"/>
      <c r="E683" s="273"/>
      <c r="F683" s="273"/>
      <c r="G683" s="273"/>
      <c r="H683" s="347" t="str">
        <f t="shared" si="20"/>
        <v/>
      </c>
      <c r="I683" s="274" t="str">
        <f t="shared" si="21"/>
        <v/>
      </c>
      <c r="J683" s="335"/>
      <c r="K683" s="273"/>
      <c r="L683" s="348"/>
    </row>
    <row r="684" spans="2:12">
      <c r="B684" s="345"/>
      <c r="C684" s="346"/>
      <c r="D684" s="273"/>
      <c r="E684" s="273"/>
      <c r="F684" s="273"/>
      <c r="G684" s="273"/>
      <c r="H684" s="347" t="str">
        <f t="shared" si="20"/>
        <v/>
      </c>
      <c r="I684" s="274" t="str">
        <f t="shared" si="21"/>
        <v/>
      </c>
      <c r="J684" s="335"/>
      <c r="K684" s="273"/>
      <c r="L684" s="348"/>
    </row>
    <row r="685" spans="2:12">
      <c r="B685" s="345"/>
      <c r="C685" s="346"/>
      <c r="D685" s="273"/>
      <c r="E685" s="273"/>
      <c r="F685" s="273"/>
      <c r="G685" s="273"/>
      <c r="H685" s="347" t="str">
        <f t="shared" si="20"/>
        <v/>
      </c>
      <c r="I685" s="274" t="str">
        <f t="shared" si="21"/>
        <v/>
      </c>
      <c r="J685" s="335"/>
      <c r="K685" s="273"/>
      <c r="L685" s="348"/>
    </row>
    <row r="686" spans="2:12">
      <c r="B686" s="345"/>
      <c r="C686" s="346"/>
      <c r="D686" s="273"/>
      <c r="E686" s="273"/>
      <c r="F686" s="273"/>
      <c r="G686" s="273"/>
      <c r="H686" s="347" t="str">
        <f t="shared" si="20"/>
        <v/>
      </c>
      <c r="I686" s="274" t="str">
        <f t="shared" si="21"/>
        <v/>
      </c>
      <c r="J686" s="335"/>
      <c r="K686" s="273"/>
      <c r="L686" s="348"/>
    </row>
    <row r="687" spans="2:12">
      <c r="B687" s="345"/>
      <c r="C687" s="346"/>
      <c r="D687" s="273"/>
      <c r="E687" s="273"/>
      <c r="F687" s="273"/>
      <c r="G687" s="273"/>
      <c r="H687" s="347" t="str">
        <f t="shared" si="20"/>
        <v/>
      </c>
      <c r="I687" s="274" t="str">
        <f t="shared" si="21"/>
        <v/>
      </c>
      <c r="J687" s="335"/>
      <c r="K687" s="273"/>
      <c r="L687" s="348"/>
    </row>
    <row r="688" spans="2:12">
      <c r="B688" s="345"/>
      <c r="C688" s="346"/>
      <c r="D688" s="273"/>
      <c r="E688" s="273"/>
      <c r="F688" s="273"/>
      <c r="G688" s="273"/>
      <c r="H688" s="347" t="str">
        <f t="shared" si="20"/>
        <v/>
      </c>
      <c r="I688" s="274" t="str">
        <f t="shared" si="21"/>
        <v/>
      </c>
      <c r="J688" s="335"/>
      <c r="K688" s="273"/>
      <c r="L688" s="348"/>
    </row>
    <row r="689" spans="2:12">
      <c r="B689" s="345"/>
      <c r="C689" s="346"/>
      <c r="D689" s="273"/>
      <c r="E689" s="273"/>
      <c r="F689" s="273"/>
      <c r="G689" s="273"/>
      <c r="H689" s="347" t="str">
        <f t="shared" si="20"/>
        <v/>
      </c>
      <c r="I689" s="274" t="str">
        <f t="shared" si="21"/>
        <v/>
      </c>
      <c r="J689" s="335"/>
      <c r="K689" s="273"/>
      <c r="L689" s="348"/>
    </row>
    <row r="690" spans="2:12">
      <c r="B690" s="345"/>
      <c r="C690" s="346"/>
      <c r="D690" s="273"/>
      <c r="E690" s="273"/>
      <c r="F690" s="273"/>
      <c r="G690" s="273"/>
      <c r="H690" s="347" t="str">
        <f t="shared" si="20"/>
        <v/>
      </c>
      <c r="I690" s="274" t="str">
        <f t="shared" si="21"/>
        <v/>
      </c>
      <c r="J690" s="335"/>
      <c r="K690" s="273"/>
      <c r="L690" s="348"/>
    </row>
    <row r="691" spans="2:12">
      <c r="B691" s="345"/>
      <c r="C691" s="346"/>
      <c r="D691" s="273"/>
      <c r="E691" s="273"/>
      <c r="F691" s="273"/>
      <c r="G691" s="273"/>
      <c r="H691" s="347" t="str">
        <f t="shared" si="20"/>
        <v/>
      </c>
      <c r="I691" s="274" t="str">
        <f t="shared" si="21"/>
        <v/>
      </c>
      <c r="J691" s="335"/>
      <c r="K691" s="273"/>
      <c r="L691" s="348"/>
    </row>
    <row r="692" spans="2:12">
      <c r="B692" s="345"/>
      <c r="C692" s="346"/>
      <c r="D692" s="273"/>
      <c r="E692" s="273"/>
      <c r="F692" s="273"/>
      <c r="G692" s="273"/>
      <c r="H692" s="347" t="str">
        <f t="shared" si="20"/>
        <v/>
      </c>
      <c r="I692" s="274" t="str">
        <f t="shared" si="21"/>
        <v/>
      </c>
      <c r="J692" s="335"/>
      <c r="K692" s="273"/>
      <c r="L692" s="348"/>
    </row>
    <row r="693" spans="2:12">
      <c r="B693" s="345"/>
      <c r="C693" s="346"/>
      <c r="D693" s="273"/>
      <c r="E693" s="273"/>
      <c r="F693" s="273"/>
      <c r="G693" s="273"/>
      <c r="H693" s="347" t="str">
        <f t="shared" si="20"/>
        <v/>
      </c>
      <c r="I693" s="274" t="str">
        <f t="shared" si="21"/>
        <v/>
      </c>
      <c r="J693" s="335"/>
      <c r="K693" s="273"/>
      <c r="L693" s="348"/>
    </row>
    <row r="694" spans="2:12">
      <c r="B694" s="345"/>
      <c r="C694" s="346"/>
      <c r="D694" s="273"/>
      <c r="E694" s="273"/>
      <c r="F694" s="273"/>
      <c r="G694" s="273"/>
      <c r="H694" s="347" t="str">
        <f t="shared" si="20"/>
        <v/>
      </c>
      <c r="I694" s="274" t="str">
        <f t="shared" si="21"/>
        <v/>
      </c>
      <c r="J694" s="335"/>
      <c r="K694" s="273"/>
      <c r="L694" s="348"/>
    </row>
    <row r="695" spans="2:12">
      <c r="B695" s="345"/>
      <c r="C695" s="346"/>
      <c r="D695" s="273"/>
      <c r="E695" s="273"/>
      <c r="F695" s="273"/>
      <c r="G695" s="273"/>
      <c r="H695" s="347" t="str">
        <f t="shared" si="20"/>
        <v/>
      </c>
      <c r="I695" s="274" t="str">
        <f t="shared" si="21"/>
        <v/>
      </c>
      <c r="J695" s="335"/>
      <c r="K695" s="273"/>
      <c r="L695" s="348"/>
    </row>
    <row r="696" spans="2:12">
      <c r="B696" s="345"/>
      <c r="C696" s="346"/>
      <c r="D696" s="273"/>
      <c r="E696" s="273"/>
      <c r="F696" s="273"/>
      <c r="G696" s="273"/>
      <c r="H696" s="347" t="str">
        <f t="shared" si="20"/>
        <v/>
      </c>
      <c r="I696" s="274" t="str">
        <f t="shared" si="21"/>
        <v/>
      </c>
      <c r="J696" s="335"/>
      <c r="K696" s="273"/>
      <c r="L696" s="348"/>
    </row>
    <row r="697" spans="2:12">
      <c r="B697" s="345"/>
      <c r="C697" s="346"/>
      <c r="D697" s="273"/>
      <c r="E697" s="273"/>
      <c r="F697" s="273"/>
      <c r="G697" s="273"/>
      <c r="H697" s="347" t="str">
        <f t="shared" si="20"/>
        <v/>
      </c>
      <c r="I697" s="274" t="str">
        <f t="shared" si="21"/>
        <v/>
      </c>
      <c r="J697" s="335"/>
      <c r="K697" s="273"/>
      <c r="L697" s="348"/>
    </row>
    <row r="698" spans="2:12">
      <c r="B698" s="345"/>
      <c r="C698" s="346"/>
      <c r="D698" s="273"/>
      <c r="E698" s="273"/>
      <c r="F698" s="273"/>
      <c r="G698" s="273"/>
      <c r="H698" s="347" t="str">
        <f t="shared" si="20"/>
        <v/>
      </c>
      <c r="I698" s="274" t="str">
        <f t="shared" si="21"/>
        <v/>
      </c>
      <c r="J698" s="335"/>
      <c r="K698" s="273"/>
      <c r="L698" s="348"/>
    </row>
    <row r="699" spans="2:12">
      <c r="B699" s="345"/>
      <c r="C699" s="346"/>
      <c r="D699" s="273"/>
      <c r="E699" s="273"/>
      <c r="F699" s="273"/>
      <c r="G699" s="273"/>
      <c r="H699" s="347" t="str">
        <f t="shared" si="20"/>
        <v/>
      </c>
      <c r="I699" s="274" t="str">
        <f t="shared" si="21"/>
        <v/>
      </c>
      <c r="J699" s="335"/>
      <c r="K699" s="273"/>
      <c r="L699" s="348"/>
    </row>
    <row r="700" spans="2:12">
      <c r="B700" s="345"/>
      <c r="C700" s="346"/>
      <c r="D700" s="273"/>
      <c r="E700" s="273"/>
      <c r="F700" s="273"/>
      <c r="G700" s="273"/>
      <c r="H700" s="347" t="str">
        <f t="shared" si="20"/>
        <v/>
      </c>
      <c r="I700" s="274" t="str">
        <f t="shared" si="21"/>
        <v/>
      </c>
      <c r="J700" s="335"/>
      <c r="K700" s="273"/>
      <c r="L700" s="348"/>
    </row>
    <row r="701" spans="2:12">
      <c r="B701" s="345"/>
      <c r="C701" s="346"/>
      <c r="D701" s="273"/>
      <c r="E701" s="273"/>
      <c r="F701" s="273"/>
      <c r="G701" s="273"/>
      <c r="H701" s="347" t="str">
        <f t="shared" si="20"/>
        <v/>
      </c>
      <c r="I701" s="274" t="str">
        <f t="shared" si="21"/>
        <v/>
      </c>
      <c r="J701" s="335"/>
      <c r="K701" s="273"/>
      <c r="L701" s="348"/>
    </row>
    <row r="702" spans="2:12">
      <c r="B702" s="345"/>
      <c r="C702" s="346"/>
      <c r="D702" s="273"/>
      <c r="E702" s="273"/>
      <c r="F702" s="273"/>
      <c r="G702" s="273"/>
      <c r="H702" s="347" t="str">
        <f t="shared" si="20"/>
        <v/>
      </c>
      <c r="I702" s="274" t="str">
        <f t="shared" si="21"/>
        <v/>
      </c>
      <c r="J702" s="335"/>
      <c r="K702" s="273"/>
      <c r="L702" s="348"/>
    </row>
    <row r="703" spans="2:12">
      <c r="B703" s="345"/>
      <c r="C703" s="346"/>
      <c r="D703" s="273"/>
      <c r="E703" s="273"/>
      <c r="F703" s="273"/>
      <c r="G703" s="273"/>
      <c r="H703" s="347" t="str">
        <f t="shared" si="20"/>
        <v/>
      </c>
      <c r="I703" s="274" t="str">
        <f t="shared" si="21"/>
        <v/>
      </c>
      <c r="J703" s="335"/>
      <c r="K703" s="273"/>
      <c r="L703" s="348"/>
    </row>
    <row r="704" spans="2:12">
      <c r="B704" s="345"/>
      <c r="C704" s="346"/>
      <c r="D704" s="273"/>
      <c r="E704" s="273"/>
      <c r="F704" s="273"/>
      <c r="G704" s="273"/>
      <c r="H704" s="347" t="str">
        <f t="shared" si="20"/>
        <v/>
      </c>
      <c r="I704" s="274" t="str">
        <f t="shared" si="21"/>
        <v/>
      </c>
      <c r="J704" s="335"/>
      <c r="K704" s="273"/>
      <c r="L704" s="348"/>
    </row>
    <row r="705" spans="2:12">
      <c r="B705" s="345"/>
      <c r="C705" s="346"/>
      <c r="D705" s="273"/>
      <c r="E705" s="273"/>
      <c r="F705" s="273"/>
      <c r="G705" s="273"/>
      <c r="H705" s="347" t="str">
        <f t="shared" si="20"/>
        <v/>
      </c>
      <c r="I705" s="274" t="str">
        <f t="shared" si="21"/>
        <v/>
      </c>
      <c r="J705" s="335"/>
      <c r="K705" s="273"/>
      <c r="L705" s="348"/>
    </row>
    <row r="706" spans="2:12">
      <c r="B706" s="345"/>
      <c r="C706" s="346"/>
      <c r="D706" s="273"/>
      <c r="E706" s="273"/>
      <c r="F706" s="273"/>
      <c r="G706" s="273"/>
      <c r="H706" s="347" t="str">
        <f t="shared" si="20"/>
        <v/>
      </c>
      <c r="I706" s="274" t="str">
        <f t="shared" si="21"/>
        <v/>
      </c>
      <c r="J706" s="335"/>
      <c r="K706" s="273"/>
      <c r="L706" s="348"/>
    </row>
    <row r="707" spans="2:12">
      <c r="B707" s="345"/>
      <c r="C707" s="346"/>
      <c r="D707" s="273"/>
      <c r="E707" s="273"/>
      <c r="F707" s="273"/>
      <c r="G707" s="273"/>
      <c r="H707" s="347" t="str">
        <f t="shared" si="20"/>
        <v/>
      </c>
      <c r="I707" s="274" t="str">
        <f t="shared" si="21"/>
        <v/>
      </c>
      <c r="J707" s="335"/>
      <c r="K707" s="273"/>
      <c r="L707" s="348"/>
    </row>
    <row r="708" spans="2:12">
      <c r="B708" s="345"/>
      <c r="C708" s="346"/>
      <c r="D708" s="273"/>
      <c r="E708" s="273"/>
      <c r="F708" s="273"/>
      <c r="G708" s="273"/>
      <c r="H708" s="347" t="str">
        <f t="shared" si="20"/>
        <v/>
      </c>
      <c r="I708" s="274" t="str">
        <f t="shared" si="21"/>
        <v/>
      </c>
      <c r="J708" s="335"/>
      <c r="K708" s="273"/>
      <c r="L708" s="348"/>
    </row>
    <row r="709" spans="2:12">
      <c r="B709" s="345"/>
      <c r="C709" s="346"/>
      <c r="D709" s="273"/>
      <c r="E709" s="273"/>
      <c r="F709" s="273"/>
      <c r="G709" s="273"/>
      <c r="H709" s="347" t="str">
        <f t="shared" si="20"/>
        <v/>
      </c>
      <c r="I709" s="274" t="str">
        <f t="shared" si="21"/>
        <v/>
      </c>
      <c r="J709" s="335"/>
      <c r="K709" s="273"/>
      <c r="L709" s="348"/>
    </row>
    <row r="710" spans="2:12">
      <c r="B710" s="345"/>
      <c r="C710" s="346"/>
      <c r="D710" s="273"/>
      <c r="E710" s="273"/>
      <c r="F710" s="273"/>
      <c r="G710" s="273"/>
      <c r="H710" s="347" t="str">
        <f t="shared" si="20"/>
        <v/>
      </c>
      <c r="I710" s="274" t="str">
        <f t="shared" si="21"/>
        <v/>
      </c>
      <c r="J710" s="335"/>
      <c r="K710" s="273"/>
      <c r="L710" s="348"/>
    </row>
    <row r="711" spans="2:12">
      <c r="B711" s="345"/>
      <c r="C711" s="346"/>
      <c r="D711" s="273"/>
      <c r="E711" s="273"/>
      <c r="F711" s="273"/>
      <c r="G711" s="273"/>
      <c r="H711" s="347" t="str">
        <f t="shared" si="20"/>
        <v/>
      </c>
      <c r="I711" s="274" t="str">
        <f t="shared" si="21"/>
        <v/>
      </c>
      <c r="J711" s="335"/>
      <c r="K711" s="273"/>
      <c r="L711" s="348"/>
    </row>
    <row r="712" spans="2:12">
      <c r="B712" s="345"/>
      <c r="C712" s="346"/>
      <c r="D712" s="273"/>
      <c r="E712" s="273"/>
      <c r="F712" s="273"/>
      <c r="G712" s="273"/>
      <c r="H712" s="347" t="str">
        <f t="shared" si="20"/>
        <v/>
      </c>
      <c r="I712" s="274" t="str">
        <f t="shared" si="21"/>
        <v/>
      </c>
      <c r="J712" s="335"/>
      <c r="K712" s="273"/>
      <c r="L712" s="348"/>
    </row>
    <row r="713" spans="2:12">
      <c r="B713" s="345"/>
      <c r="C713" s="346"/>
      <c r="D713" s="273"/>
      <c r="E713" s="273"/>
      <c r="F713" s="273"/>
      <c r="G713" s="273"/>
      <c r="H713" s="347" t="str">
        <f t="shared" si="20"/>
        <v/>
      </c>
      <c r="I713" s="274" t="str">
        <f t="shared" si="21"/>
        <v/>
      </c>
      <c r="J713" s="335"/>
      <c r="K713" s="273"/>
      <c r="L713" s="348"/>
    </row>
    <row r="714" spans="2:12">
      <c r="B714" s="345"/>
      <c r="C714" s="346"/>
      <c r="D714" s="273"/>
      <c r="E714" s="273"/>
      <c r="F714" s="273"/>
      <c r="G714" s="273"/>
      <c r="H714" s="347" t="str">
        <f t="shared" si="20"/>
        <v/>
      </c>
      <c r="I714" s="274" t="str">
        <f t="shared" si="21"/>
        <v/>
      </c>
      <c r="J714" s="335"/>
      <c r="K714" s="273"/>
      <c r="L714" s="348"/>
    </row>
    <row r="715" spans="2:12">
      <c r="B715" s="345"/>
      <c r="C715" s="346"/>
      <c r="D715" s="273"/>
      <c r="E715" s="273"/>
      <c r="F715" s="273"/>
      <c r="G715" s="273"/>
      <c r="H715" s="347" t="str">
        <f t="shared" ref="H715:H778" si="22">IF(G715="Large","NRS",IF(G715="International","FRS",IF(G715="SME - Medium","SME",IF(G715="SME - Micro","SME",IF(G715="SME - Small","SME","")))))</f>
        <v/>
      </c>
      <c r="I715" s="274" t="str">
        <f t="shared" ref="I715:I778" si="23">IF(H715="FRS","No","")</f>
        <v/>
      </c>
      <c r="J715" s="335"/>
      <c r="K715" s="273"/>
      <c r="L715" s="348"/>
    </row>
    <row r="716" spans="2:12">
      <c r="B716" s="345"/>
      <c r="C716" s="346"/>
      <c r="D716" s="273"/>
      <c r="E716" s="273"/>
      <c r="F716" s="273"/>
      <c r="G716" s="273"/>
      <c r="H716" s="347" t="str">
        <f t="shared" si="22"/>
        <v/>
      </c>
      <c r="I716" s="274" t="str">
        <f t="shared" si="23"/>
        <v/>
      </c>
      <c r="J716" s="335"/>
      <c r="K716" s="273"/>
      <c r="L716" s="348"/>
    </row>
    <row r="717" spans="2:12">
      <c r="B717" s="345"/>
      <c r="C717" s="346"/>
      <c r="D717" s="273"/>
      <c r="E717" s="273"/>
      <c r="F717" s="273"/>
      <c r="G717" s="273"/>
      <c r="H717" s="347" t="str">
        <f t="shared" si="22"/>
        <v/>
      </c>
      <c r="I717" s="274" t="str">
        <f t="shared" si="23"/>
        <v/>
      </c>
      <c r="J717" s="335"/>
      <c r="K717" s="273"/>
      <c r="L717" s="348"/>
    </row>
    <row r="718" spans="2:12">
      <c r="B718" s="345"/>
      <c r="C718" s="346"/>
      <c r="D718" s="273"/>
      <c r="E718" s="273"/>
      <c r="F718" s="273"/>
      <c r="G718" s="273"/>
      <c r="H718" s="347" t="str">
        <f t="shared" si="22"/>
        <v/>
      </c>
      <c r="I718" s="274" t="str">
        <f t="shared" si="23"/>
        <v/>
      </c>
      <c r="J718" s="335"/>
      <c r="K718" s="273"/>
      <c r="L718" s="348"/>
    </row>
    <row r="719" spans="2:12">
      <c r="B719" s="345"/>
      <c r="C719" s="346"/>
      <c r="D719" s="273"/>
      <c r="E719" s="273"/>
      <c r="F719" s="273"/>
      <c r="G719" s="273"/>
      <c r="H719" s="347" t="str">
        <f t="shared" si="22"/>
        <v/>
      </c>
      <c r="I719" s="274" t="str">
        <f t="shared" si="23"/>
        <v/>
      </c>
      <c r="J719" s="335"/>
      <c r="K719" s="273"/>
      <c r="L719" s="348"/>
    </row>
    <row r="720" spans="2:12">
      <c r="B720" s="345"/>
      <c r="C720" s="346"/>
      <c r="D720" s="273"/>
      <c r="E720" s="273"/>
      <c r="F720" s="273"/>
      <c r="G720" s="273"/>
      <c r="H720" s="347" t="str">
        <f t="shared" si="22"/>
        <v/>
      </c>
      <c r="I720" s="274" t="str">
        <f t="shared" si="23"/>
        <v/>
      </c>
      <c r="J720" s="335"/>
      <c r="K720" s="273"/>
      <c r="L720" s="348"/>
    </row>
    <row r="721" spans="2:12">
      <c r="B721" s="345"/>
      <c r="C721" s="346"/>
      <c r="D721" s="273"/>
      <c r="E721" s="273"/>
      <c r="F721" s="273"/>
      <c r="G721" s="273"/>
      <c r="H721" s="347" t="str">
        <f t="shared" si="22"/>
        <v/>
      </c>
      <c r="I721" s="274" t="str">
        <f t="shared" si="23"/>
        <v/>
      </c>
      <c r="J721" s="335"/>
      <c r="K721" s="273"/>
      <c r="L721" s="348"/>
    </row>
    <row r="722" spans="2:12">
      <c r="B722" s="345"/>
      <c r="C722" s="346"/>
      <c r="D722" s="273"/>
      <c r="E722" s="273"/>
      <c r="F722" s="273"/>
      <c r="G722" s="273"/>
      <c r="H722" s="347" t="str">
        <f t="shared" si="22"/>
        <v/>
      </c>
      <c r="I722" s="274" t="str">
        <f t="shared" si="23"/>
        <v/>
      </c>
      <c r="J722" s="335"/>
      <c r="K722" s="273"/>
      <c r="L722" s="348"/>
    </row>
    <row r="723" spans="2:12">
      <c r="B723" s="345"/>
      <c r="C723" s="346"/>
      <c r="D723" s="273"/>
      <c r="E723" s="273"/>
      <c r="F723" s="273"/>
      <c r="G723" s="273"/>
      <c r="H723" s="347" t="str">
        <f t="shared" si="22"/>
        <v/>
      </c>
      <c r="I723" s="274" t="str">
        <f t="shared" si="23"/>
        <v/>
      </c>
      <c r="J723" s="335"/>
      <c r="K723" s="273"/>
      <c r="L723" s="348"/>
    </row>
    <row r="724" spans="2:12">
      <c r="B724" s="345"/>
      <c r="C724" s="346"/>
      <c r="D724" s="273"/>
      <c r="E724" s="273"/>
      <c r="F724" s="273"/>
      <c r="G724" s="273"/>
      <c r="H724" s="347" t="str">
        <f t="shared" si="22"/>
        <v/>
      </c>
      <c r="I724" s="274" t="str">
        <f t="shared" si="23"/>
        <v/>
      </c>
      <c r="J724" s="335"/>
      <c r="K724" s="273"/>
      <c r="L724" s="348"/>
    </row>
    <row r="725" spans="2:12">
      <c r="B725" s="345"/>
      <c r="C725" s="346"/>
      <c r="D725" s="273"/>
      <c r="E725" s="273"/>
      <c r="F725" s="273"/>
      <c r="G725" s="273"/>
      <c r="H725" s="347" t="str">
        <f t="shared" si="22"/>
        <v/>
      </c>
      <c r="I725" s="274" t="str">
        <f t="shared" si="23"/>
        <v/>
      </c>
      <c r="J725" s="335"/>
      <c r="K725" s="273"/>
      <c r="L725" s="348"/>
    </row>
    <row r="726" spans="2:12">
      <c r="B726" s="345"/>
      <c r="C726" s="346"/>
      <c r="D726" s="273"/>
      <c r="E726" s="273"/>
      <c r="F726" s="273"/>
      <c r="G726" s="273"/>
      <c r="H726" s="347" t="str">
        <f t="shared" si="22"/>
        <v/>
      </c>
      <c r="I726" s="274" t="str">
        <f t="shared" si="23"/>
        <v/>
      </c>
      <c r="J726" s="335"/>
      <c r="K726" s="273"/>
      <c r="L726" s="348"/>
    </row>
    <row r="727" spans="2:12">
      <c r="B727" s="345"/>
      <c r="C727" s="346"/>
      <c r="D727" s="273"/>
      <c r="E727" s="273"/>
      <c r="F727" s="273"/>
      <c r="G727" s="273"/>
      <c r="H727" s="347" t="str">
        <f t="shared" si="22"/>
        <v/>
      </c>
      <c r="I727" s="274" t="str">
        <f t="shared" si="23"/>
        <v/>
      </c>
      <c r="J727" s="335"/>
      <c r="K727" s="273"/>
      <c r="L727" s="348"/>
    </row>
    <row r="728" spans="2:12">
      <c r="B728" s="345"/>
      <c r="C728" s="346"/>
      <c r="D728" s="273"/>
      <c r="E728" s="273"/>
      <c r="F728" s="273"/>
      <c r="G728" s="273"/>
      <c r="H728" s="347" t="str">
        <f t="shared" si="22"/>
        <v/>
      </c>
      <c r="I728" s="274" t="str">
        <f t="shared" si="23"/>
        <v/>
      </c>
      <c r="J728" s="335"/>
      <c r="K728" s="273"/>
      <c r="L728" s="348"/>
    </row>
    <row r="729" spans="2:12">
      <c r="B729" s="345"/>
      <c r="C729" s="346"/>
      <c r="D729" s="273"/>
      <c r="E729" s="273"/>
      <c r="F729" s="273"/>
      <c r="G729" s="273"/>
      <c r="H729" s="347" t="str">
        <f t="shared" si="22"/>
        <v/>
      </c>
      <c r="I729" s="274" t="str">
        <f t="shared" si="23"/>
        <v/>
      </c>
      <c r="J729" s="335"/>
      <c r="K729" s="273"/>
      <c r="L729" s="348"/>
    </row>
    <row r="730" spans="2:12">
      <c r="B730" s="345"/>
      <c r="C730" s="346"/>
      <c r="D730" s="273"/>
      <c r="E730" s="273"/>
      <c r="F730" s="273"/>
      <c r="G730" s="273"/>
      <c r="H730" s="347" t="str">
        <f t="shared" si="22"/>
        <v/>
      </c>
      <c r="I730" s="274" t="str">
        <f t="shared" si="23"/>
        <v/>
      </c>
      <c r="J730" s="335"/>
      <c r="K730" s="273"/>
      <c r="L730" s="348"/>
    </row>
    <row r="731" spans="2:12">
      <c r="B731" s="345"/>
      <c r="C731" s="346"/>
      <c r="D731" s="273"/>
      <c r="E731" s="273"/>
      <c r="F731" s="273"/>
      <c r="G731" s="273"/>
      <c r="H731" s="347" t="str">
        <f t="shared" si="22"/>
        <v/>
      </c>
      <c r="I731" s="274" t="str">
        <f t="shared" si="23"/>
        <v/>
      </c>
      <c r="J731" s="335"/>
      <c r="K731" s="273"/>
      <c r="L731" s="348"/>
    </row>
    <row r="732" spans="2:12">
      <c r="B732" s="345"/>
      <c r="C732" s="346"/>
      <c r="D732" s="273"/>
      <c r="E732" s="273"/>
      <c r="F732" s="273"/>
      <c r="G732" s="273"/>
      <c r="H732" s="347" t="str">
        <f t="shared" si="22"/>
        <v/>
      </c>
      <c r="I732" s="274" t="str">
        <f t="shared" si="23"/>
        <v/>
      </c>
      <c r="J732" s="335"/>
      <c r="K732" s="273"/>
      <c r="L732" s="348"/>
    </row>
    <row r="733" spans="2:12">
      <c r="B733" s="345"/>
      <c r="C733" s="346"/>
      <c r="D733" s="273"/>
      <c r="E733" s="273"/>
      <c r="F733" s="273"/>
      <c r="G733" s="273"/>
      <c r="H733" s="347" t="str">
        <f t="shared" si="22"/>
        <v/>
      </c>
      <c r="I733" s="274" t="str">
        <f t="shared" si="23"/>
        <v/>
      </c>
      <c r="J733" s="335"/>
      <c r="K733" s="273"/>
      <c r="L733" s="348"/>
    </row>
    <row r="734" spans="2:12">
      <c r="B734" s="345"/>
      <c r="C734" s="346"/>
      <c r="D734" s="273"/>
      <c r="E734" s="273"/>
      <c r="F734" s="273"/>
      <c r="G734" s="273"/>
      <c r="H734" s="347" t="str">
        <f t="shared" si="22"/>
        <v/>
      </c>
      <c r="I734" s="274" t="str">
        <f t="shared" si="23"/>
        <v/>
      </c>
      <c r="J734" s="335"/>
      <c r="K734" s="273"/>
      <c r="L734" s="348"/>
    </row>
    <row r="735" spans="2:12">
      <c r="B735" s="345"/>
      <c r="C735" s="346"/>
      <c r="D735" s="273"/>
      <c r="E735" s="273"/>
      <c r="F735" s="273"/>
      <c r="G735" s="273"/>
      <c r="H735" s="347" t="str">
        <f t="shared" si="22"/>
        <v/>
      </c>
      <c r="I735" s="274" t="str">
        <f t="shared" si="23"/>
        <v/>
      </c>
      <c r="J735" s="335"/>
      <c r="K735" s="273"/>
      <c r="L735" s="348"/>
    </row>
    <row r="736" spans="2:12">
      <c r="B736" s="345"/>
      <c r="C736" s="346"/>
      <c r="D736" s="273"/>
      <c r="E736" s="273"/>
      <c r="F736" s="273"/>
      <c r="G736" s="273"/>
      <c r="H736" s="347" t="str">
        <f t="shared" si="22"/>
        <v/>
      </c>
      <c r="I736" s="274" t="str">
        <f t="shared" si="23"/>
        <v/>
      </c>
      <c r="J736" s="335"/>
      <c r="K736" s="273"/>
      <c r="L736" s="348"/>
    </row>
    <row r="737" spans="2:12">
      <c r="B737" s="345"/>
      <c r="C737" s="346"/>
      <c r="D737" s="273"/>
      <c r="E737" s="273"/>
      <c r="F737" s="273"/>
      <c r="G737" s="273"/>
      <c r="H737" s="347" t="str">
        <f t="shared" si="22"/>
        <v/>
      </c>
      <c r="I737" s="274" t="str">
        <f t="shared" si="23"/>
        <v/>
      </c>
      <c r="J737" s="335"/>
      <c r="K737" s="273"/>
      <c r="L737" s="348"/>
    </row>
    <row r="738" spans="2:12">
      <c r="B738" s="345"/>
      <c r="C738" s="346"/>
      <c r="D738" s="273"/>
      <c r="E738" s="273"/>
      <c r="F738" s="273"/>
      <c r="G738" s="273"/>
      <c r="H738" s="347" t="str">
        <f t="shared" si="22"/>
        <v/>
      </c>
      <c r="I738" s="274" t="str">
        <f t="shared" si="23"/>
        <v/>
      </c>
      <c r="J738" s="335"/>
      <c r="K738" s="273"/>
      <c r="L738" s="348"/>
    </row>
    <row r="739" spans="2:12">
      <c r="B739" s="345"/>
      <c r="C739" s="346"/>
      <c r="D739" s="273"/>
      <c r="E739" s="273"/>
      <c r="F739" s="273"/>
      <c r="G739" s="273"/>
      <c r="H739" s="347" t="str">
        <f t="shared" si="22"/>
        <v/>
      </c>
      <c r="I739" s="274" t="str">
        <f t="shared" si="23"/>
        <v/>
      </c>
      <c r="J739" s="335"/>
      <c r="K739" s="273"/>
      <c r="L739" s="348"/>
    </row>
    <row r="740" spans="2:12">
      <c r="B740" s="345"/>
      <c r="C740" s="346"/>
      <c r="D740" s="273"/>
      <c r="E740" s="273"/>
      <c r="F740" s="273"/>
      <c r="G740" s="273"/>
      <c r="H740" s="347" t="str">
        <f t="shared" si="22"/>
        <v/>
      </c>
      <c r="I740" s="274" t="str">
        <f t="shared" si="23"/>
        <v/>
      </c>
      <c r="J740" s="335"/>
      <c r="K740" s="273"/>
      <c r="L740" s="348"/>
    </row>
    <row r="741" spans="2:12">
      <c r="B741" s="345"/>
      <c r="C741" s="346"/>
      <c r="D741" s="273"/>
      <c r="E741" s="273"/>
      <c r="F741" s="273"/>
      <c r="G741" s="273"/>
      <c r="H741" s="347" t="str">
        <f t="shared" si="22"/>
        <v/>
      </c>
      <c r="I741" s="274" t="str">
        <f t="shared" si="23"/>
        <v/>
      </c>
      <c r="J741" s="335"/>
      <c r="K741" s="273"/>
      <c r="L741" s="348"/>
    </row>
    <row r="742" spans="2:12">
      <c r="B742" s="345"/>
      <c r="C742" s="346"/>
      <c r="D742" s="273"/>
      <c r="E742" s="273"/>
      <c r="F742" s="273"/>
      <c r="G742" s="273"/>
      <c r="H742" s="347" t="str">
        <f t="shared" si="22"/>
        <v/>
      </c>
      <c r="I742" s="274" t="str">
        <f t="shared" si="23"/>
        <v/>
      </c>
      <c r="J742" s="335"/>
      <c r="K742" s="273"/>
      <c r="L742" s="348"/>
    </row>
    <row r="743" spans="2:12">
      <c r="B743" s="345"/>
      <c r="C743" s="346"/>
      <c r="D743" s="273"/>
      <c r="E743" s="273"/>
      <c r="F743" s="273"/>
      <c r="G743" s="273"/>
      <c r="H743" s="347" t="str">
        <f t="shared" si="22"/>
        <v/>
      </c>
      <c r="I743" s="274" t="str">
        <f t="shared" si="23"/>
        <v/>
      </c>
      <c r="J743" s="335"/>
      <c r="K743" s="273"/>
      <c r="L743" s="348"/>
    </row>
    <row r="744" spans="2:12">
      <c r="B744" s="345"/>
      <c r="C744" s="346"/>
      <c r="D744" s="273"/>
      <c r="E744" s="273"/>
      <c r="F744" s="273"/>
      <c r="G744" s="273"/>
      <c r="H744" s="347" t="str">
        <f t="shared" si="22"/>
        <v/>
      </c>
      <c r="I744" s="274" t="str">
        <f t="shared" si="23"/>
        <v/>
      </c>
      <c r="J744" s="335"/>
      <c r="K744" s="273"/>
      <c r="L744" s="348"/>
    </row>
    <row r="745" spans="2:12">
      <c r="B745" s="345"/>
      <c r="C745" s="346"/>
      <c r="D745" s="273"/>
      <c r="E745" s="273"/>
      <c r="F745" s="273"/>
      <c r="G745" s="273"/>
      <c r="H745" s="347" t="str">
        <f t="shared" si="22"/>
        <v/>
      </c>
      <c r="I745" s="274" t="str">
        <f t="shared" si="23"/>
        <v/>
      </c>
      <c r="J745" s="335"/>
      <c r="K745" s="273"/>
      <c r="L745" s="348"/>
    </row>
    <row r="746" spans="2:12">
      <c r="B746" s="345"/>
      <c r="C746" s="346"/>
      <c r="D746" s="273"/>
      <c r="E746" s="273"/>
      <c r="F746" s="273"/>
      <c r="G746" s="273"/>
      <c r="H746" s="347" t="str">
        <f t="shared" si="22"/>
        <v/>
      </c>
      <c r="I746" s="274" t="str">
        <f t="shared" si="23"/>
        <v/>
      </c>
      <c r="J746" s="335"/>
      <c r="K746" s="273"/>
      <c r="L746" s="348"/>
    </row>
    <row r="747" spans="2:12">
      <c r="B747" s="345"/>
      <c r="C747" s="346"/>
      <c r="D747" s="273"/>
      <c r="E747" s="273"/>
      <c r="F747" s="273"/>
      <c r="G747" s="273"/>
      <c r="H747" s="347" t="str">
        <f t="shared" si="22"/>
        <v/>
      </c>
      <c r="I747" s="274" t="str">
        <f t="shared" si="23"/>
        <v/>
      </c>
      <c r="J747" s="335"/>
      <c r="K747" s="273"/>
      <c r="L747" s="348"/>
    </row>
    <row r="748" spans="2:12">
      <c r="B748" s="345"/>
      <c r="C748" s="346"/>
      <c r="D748" s="273"/>
      <c r="E748" s="273"/>
      <c r="F748" s="273"/>
      <c r="G748" s="273"/>
      <c r="H748" s="347" t="str">
        <f t="shared" si="22"/>
        <v/>
      </c>
      <c r="I748" s="274" t="str">
        <f t="shared" si="23"/>
        <v/>
      </c>
      <c r="J748" s="335"/>
      <c r="K748" s="273"/>
      <c r="L748" s="348"/>
    </row>
    <row r="749" spans="2:12">
      <c r="B749" s="345"/>
      <c r="C749" s="346"/>
      <c r="D749" s="273"/>
      <c r="E749" s="273"/>
      <c r="F749" s="273"/>
      <c r="G749" s="273"/>
      <c r="H749" s="347" t="str">
        <f t="shared" si="22"/>
        <v/>
      </c>
      <c r="I749" s="274" t="str">
        <f t="shared" si="23"/>
        <v/>
      </c>
      <c r="J749" s="335"/>
      <c r="K749" s="273"/>
      <c r="L749" s="348"/>
    </row>
    <row r="750" spans="2:12">
      <c r="B750" s="345"/>
      <c r="C750" s="346"/>
      <c r="D750" s="273"/>
      <c r="E750" s="273"/>
      <c r="F750" s="273"/>
      <c r="G750" s="273"/>
      <c r="H750" s="347" t="str">
        <f t="shared" si="22"/>
        <v/>
      </c>
      <c r="I750" s="274" t="str">
        <f t="shared" si="23"/>
        <v/>
      </c>
      <c r="J750" s="335"/>
      <c r="K750" s="273"/>
      <c r="L750" s="348"/>
    </row>
    <row r="751" spans="2:12">
      <c r="B751" s="345"/>
      <c r="C751" s="346"/>
      <c r="D751" s="273"/>
      <c r="E751" s="273"/>
      <c r="F751" s="273"/>
      <c r="G751" s="273"/>
      <c r="H751" s="347" t="str">
        <f t="shared" si="22"/>
        <v/>
      </c>
      <c r="I751" s="274" t="str">
        <f t="shared" si="23"/>
        <v/>
      </c>
      <c r="J751" s="335"/>
      <c r="K751" s="273"/>
      <c r="L751" s="348"/>
    </row>
    <row r="752" spans="2:12">
      <c r="B752" s="345"/>
      <c r="C752" s="346"/>
      <c r="D752" s="273"/>
      <c r="E752" s="273"/>
      <c r="F752" s="273"/>
      <c r="G752" s="273"/>
      <c r="H752" s="347" t="str">
        <f t="shared" si="22"/>
        <v/>
      </c>
      <c r="I752" s="274" t="str">
        <f t="shared" si="23"/>
        <v/>
      </c>
      <c r="J752" s="335"/>
      <c r="K752" s="273"/>
      <c r="L752" s="348"/>
    </row>
    <row r="753" spans="2:12">
      <c r="B753" s="345"/>
      <c r="C753" s="346"/>
      <c r="D753" s="273"/>
      <c r="E753" s="273"/>
      <c r="F753" s="273"/>
      <c r="G753" s="273"/>
      <c r="H753" s="347" t="str">
        <f t="shared" si="22"/>
        <v/>
      </c>
      <c r="I753" s="274" t="str">
        <f t="shared" si="23"/>
        <v/>
      </c>
      <c r="J753" s="335"/>
      <c r="K753" s="273"/>
      <c r="L753" s="348"/>
    </row>
    <row r="754" spans="2:12">
      <c r="B754" s="345"/>
      <c r="C754" s="346"/>
      <c r="D754" s="273"/>
      <c r="E754" s="273"/>
      <c r="F754" s="273"/>
      <c r="G754" s="273"/>
      <c r="H754" s="347" t="str">
        <f t="shared" si="22"/>
        <v/>
      </c>
      <c r="I754" s="274" t="str">
        <f t="shared" si="23"/>
        <v/>
      </c>
      <c r="J754" s="335"/>
      <c r="K754" s="273"/>
      <c r="L754" s="348"/>
    </row>
    <row r="755" spans="2:12">
      <c r="B755" s="345"/>
      <c r="C755" s="346"/>
      <c r="D755" s="273"/>
      <c r="E755" s="273"/>
      <c r="F755" s="273"/>
      <c r="G755" s="273"/>
      <c r="H755" s="347" t="str">
        <f t="shared" si="22"/>
        <v/>
      </c>
      <c r="I755" s="274" t="str">
        <f t="shared" si="23"/>
        <v/>
      </c>
      <c r="J755" s="335"/>
      <c r="K755" s="273"/>
      <c r="L755" s="348"/>
    </row>
    <row r="756" spans="2:12">
      <c r="B756" s="345"/>
      <c r="C756" s="346"/>
      <c r="D756" s="273"/>
      <c r="E756" s="273"/>
      <c r="F756" s="273"/>
      <c r="G756" s="273"/>
      <c r="H756" s="347" t="str">
        <f t="shared" si="22"/>
        <v/>
      </c>
      <c r="I756" s="274" t="str">
        <f t="shared" si="23"/>
        <v/>
      </c>
      <c r="J756" s="335"/>
      <c r="K756" s="273"/>
      <c r="L756" s="348"/>
    </row>
    <row r="757" spans="2:12">
      <c r="B757" s="345"/>
      <c r="C757" s="346"/>
      <c r="D757" s="273"/>
      <c r="E757" s="273"/>
      <c r="F757" s="273"/>
      <c r="G757" s="273"/>
      <c r="H757" s="347" t="str">
        <f t="shared" si="22"/>
        <v/>
      </c>
      <c r="I757" s="274" t="str">
        <f t="shared" si="23"/>
        <v/>
      </c>
      <c r="J757" s="335"/>
      <c r="K757" s="273"/>
      <c r="L757" s="348"/>
    </row>
    <row r="758" spans="2:12">
      <c r="B758" s="345"/>
      <c r="C758" s="346"/>
      <c r="D758" s="273"/>
      <c r="E758" s="273"/>
      <c r="F758" s="273"/>
      <c r="G758" s="273"/>
      <c r="H758" s="347" t="str">
        <f t="shared" si="22"/>
        <v/>
      </c>
      <c r="I758" s="274" t="str">
        <f t="shared" si="23"/>
        <v/>
      </c>
      <c r="J758" s="335"/>
      <c r="K758" s="273"/>
      <c r="L758" s="348"/>
    </row>
    <row r="759" spans="2:12">
      <c r="B759" s="345"/>
      <c r="C759" s="346"/>
      <c r="D759" s="273"/>
      <c r="E759" s="273"/>
      <c r="F759" s="273"/>
      <c r="G759" s="273"/>
      <c r="H759" s="347" t="str">
        <f t="shared" si="22"/>
        <v/>
      </c>
      <c r="I759" s="274" t="str">
        <f t="shared" si="23"/>
        <v/>
      </c>
      <c r="J759" s="335"/>
      <c r="K759" s="273"/>
      <c r="L759" s="348"/>
    </row>
    <row r="760" spans="2:12">
      <c r="B760" s="345"/>
      <c r="C760" s="346"/>
      <c r="D760" s="273"/>
      <c r="E760" s="273"/>
      <c r="F760" s="273"/>
      <c r="G760" s="273"/>
      <c r="H760" s="347" t="str">
        <f t="shared" si="22"/>
        <v/>
      </c>
      <c r="I760" s="274" t="str">
        <f t="shared" si="23"/>
        <v/>
      </c>
      <c r="J760" s="335"/>
      <c r="K760" s="273"/>
      <c r="L760" s="348"/>
    </row>
    <row r="761" spans="2:12">
      <c r="B761" s="345"/>
      <c r="C761" s="346"/>
      <c r="D761" s="273"/>
      <c r="E761" s="273"/>
      <c r="F761" s="273"/>
      <c r="G761" s="273"/>
      <c r="H761" s="347" t="str">
        <f t="shared" si="22"/>
        <v/>
      </c>
      <c r="I761" s="274" t="str">
        <f t="shared" si="23"/>
        <v/>
      </c>
      <c r="J761" s="335"/>
      <c r="K761" s="273"/>
      <c r="L761" s="348"/>
    </row>
    <row r="762" spans="2:12">
      <c r="B762" s="345"/>
      <c r="C762" s="346"/>
      <c r="D762" s="273"/>
      <c r="E762" s="273"/>
      <c r="F762" s="273"/>
      <c r="G762" s="273"/>
      <c r="H762" s="347" t="str">
        <f t="shared" si="22"/>
        <v/>
      </c>
      <c r="I762" s="274" t="str">
        <f t="shared" si="23"/>
        <v/>
      </c>
      <c r="J762" s="335"/>
      <c r="K762" s="273"/>
      <c r="L762" s="348"/>
    </row>
    <row r="763" spans="2:12">
      <c r="B763" s="345"/>
      <c r="C763" s="346"/>
      <c r="D763" s="273"/>
      <c r="E763" s="273"/>
      <c r="F763" s="273"/>
      <c r="G763" s="273"/>
      <c r="H763" s="347" t="str">
        <f t="shared" si="22"/>
        <v/>
      </c>
      <c r="I763" s="274" t="str">
        <f t="shared" si="23"/>
        <v/>
      </c>
      <c r="J763" s="335"/>
      <c r="K763" s="273"/>
      <c r="L763" s="348"/>
    </row>
    <row r="764" spans="2:12">
      <c r="B764" s="345"/>
      <c r="C764" s="346"/>
      <c r="D764" s="273"/>
      <c r="E764" s="273"/>
      <c r="F764" s="273"/>
      <c r="G764" s="273"/>
      <c r="H764" s="347" t="str">
        <f t="shared" si="22"/>
        <v/>
      </c>
      <c r="I764" s="274" t="str">
        <f t="shared" si="23"/>
        <v/>
      </c>
      <c r="J764" s="335"/>
      <c r="K764" s="273"/>
      <c r="L764" s="348"/>
    </row>
    <row r="765" spans="2:12">
      <c r="B765" s="345"/>
      <c r="C765" s="346"/>
      <c r="D765" s="273"/>
      <c r="E765" s="273"/>
      <c r="F765" s="273"/>
      <c r="G765" s="273"/>
      <c r="H765" s="347" t="str">
        <f t="shared" si="22"/>
        <v/>
      </c>
      <c r="I765" s="274" t="str">
        <f t="shared" si="23"/>
        <v/>
      </c>
      <c r="J765" s="335"/>
      <c r="K765" s="273"/>
      <c r="L765" s="348"/>
    </row>
    <row r="766" spans="2:12">
      <c r="B766" s="345"/>
      <c r="C766" s="346"/>
      <c r="D766" s="273"/>
      <c r="E766" s="273"/>
      <c r="F766" s="273"/>
      <c r="G766" s="273"/>
      <c r="H766" s="347" t="str">
        <f t="shared" si="22"/>
        <v/>
      </c>
      <c r="I766" s="274" t="str">
        <f t="shared" si="23"/>
        <v/>
      </c>
      <c r="J766" s="335"/>
      <c r="K766" s="273"/>
      <c r="L766" s="348"/>
    </row>
    <row r="767" spans="2:12">
      <c r="B767" s="345"/>
      <c r="C767" s="346"/>
      <c r="D767" s="273"/>
      <c r="E767" s="273"/>
      <c r="F767" s="273"/>
      <c r="G767" s="273"/>
      <c r="H767" s="347" t="str">
        <f t="shared" si="22"/>
        <v/>
      </c>
      <c r="I767" s="274" t="str">
        <f t="shared" si="23"/>
        <v/>
      </c>
      <c r="J767" s="335"/>
      <c r="K767" s="273"/>
      <c r="L767" s="348"/>
    </row>
    <row r="768" spans="2:12">
      <c r="B768" s="345"/>
      <c r="C768" s="346"/>
      <c r="D768" s="273"/>
      <c r="E768" s="273"/>
      <c r="F768" s="273"/>
      <c r="G768" s="273"/>
      <c r="H768" s="347" t="str">
        <f t="shared" si="22"/>
        <v/>
      </c>
      <c r="I768" s="274" t="str">
        <f t="shared" si="23"/>
        <v/>
      </c>
      <c r="J768" s="335"/>
      <c r="K768" s="273"/>
      <c r="L768" s="348"/>
    </row>
    <row r="769" spans="2:12">
      <c r="B769" s="345"/>
      <c r="C769" s="346"/>
      <c r="D769" s="273"/>
      <c r="E769" s="273"/>
      <c r="F769" s="273"/>
      <c r="G769" s="273"/>
      <c r="H769" s="347" t="str">
        <f t="shared" si="22"/>
        <v/>
      </c>
      <c r="I769" s="274" t="str">
        <f t="shared" si="23"/>
        <v/>
      </c>
      <c r="J769" s="335"/>
      <c r="K769" s="273"/>
      <c r="L769" s="348"/>
    </row>
    <row r="770" spans="2:12">
      <c r="B770" s="345"/>
      <c r="C770" s="346"/>
      <c r="D770" s="273"/>
      <c r="E770" s="273"/>
      <c r="F770" s="273"/>
      <c r="G770" s="273"/>
      <c r="H770" s="347" t="str">
        <f t="shared" si="22"/>
        <v/>
      </c>
      <c r="I770" s="274" t="str">
        <f t="shared" si="23"/>
        <v/>
      </c>
      <c r="J770" s="335"/>
      <c r="K770" s="273"/>
      <c r="L770" s="348"/>
    </row>
    <row r="771" spans="2:12">
      <c r="B771" s="345"/>
      <c r="C771" s="346"/>
      <c r="D771" s="273"/>
      <c r="E771" s="273"/>
      <c r="F771" s="273"/>
      <c r="G771" s="273"/>
      <c r="H771" s="347" t="str">
        <f t="shared" si="22"/>
        <v/>
      </c>
      <c r="I771" s="274" t="str">
        <f t="shared" si="23"/>
        <v/>
      </c>
      <c r="J771" s="335"/>
      <c r="K771" s="273"/>
      <c r="L771" s="348"/>
    </row>
    <row r="772" spans="2:12">
      <c r="B772" s="345"/>
      <c r="C772" s="346"/>
      <c r="D772" s="273"/>
      <c r="E772" s="273"/>
      <c r="F772" s="273"/>
      <c r="G772" s="273"/>
      <c r="H772" s="347" t="str">
        <f t="shared" si="22"/>
        <v/>
      </c>
      <c r="I772" s="274" t="str">
        <f t="shared" si="23"/>
        <v/>
      </c>
      <c r="J772" s="335"/>
      <c r="K772" s="273"/>
      <c r="L772" s="348"/>
    </row>
    <row r="773" spans="2:12">
      <c r="B773" s="345"/>
      <c r="C773" s="346"/>
      <c r="D773" s="273"/>
      <c r="E773" s="273"/>
      <c r="F773" s="273"/>
      <c r="G773" s="273"/>
      <c r="H773" s="347" t="str">
        <f t="shared" si="22"/>
        <v/>
      </c>
      <c r="I773" s="274" t="str">
        <f t="shared" si="23"/>
        <v/>
      </c>
      <c r="J773" s="335"/>
      <c r="K773" s="273"/>
      <c r="L773" s="348"/>
    </row>
    <row r="774" spans="2:12">
      <c r="B774" s="345"/>
      <c r="C774" s="346"/>
      <c r="D774" s="273"/>
      <c r="E774" s="273"/>
      <c r="F774" s="273"/>
      <c r="G774" s="273"/>
      <c r="H774" s="347" t="str">
        <f t="shared" si="22"/>
        <v/>
      </c>
      <c r="I774" s="274" t="str">
        <f t="shared" si="23"/>
        <v/>
      </c>
      <c r="J774" s="335"/>
      <c r="K774" s="273"/>
      <c r="L774" s="348"/>
    </row>
    <row r="775" spans="2:12">
      <c r="B775" s="345"/>
      <c r="C775" s="346"/>
      <c r="D775" s="273"/>
      <c r="E775" s="273"/>
      <c r="F775" s="273"/>
      <c r="G775" s="273"/>
      <c r="H775" s="347" t="str">
        <f t="shared" si="22"/>
        <v/>
      </c>
      <c r="I775" s="274" t="str">
        <f t="shared" si="23"/>
        <v/>
      </c>
      <c r="J775" s="335"/>
      <c r="K775" s="273"/>
      <c r="L775" s="348"/>
    </row>
    <row r="776" spans="2:12">
      <c r="B776" s="345"/>
      <c r="C776" s="346"/>
      <c r="D776" s="273"/>
      <c r="E776" s="273"/>
      <c r="F776" s="273"/>
      <c r="G776" s="273"/>
      <c r="H776" s="347" t="str">
        <f t="shared" si="22"/>
        <v/>
      </c>
      <c r="I776" s="274" t="str">
        <f t="shared" si="23"/>
        <v/>
      </c>
      <c r="J776" s="335"/>
      <c r="K776" s="273"/>
      <c r="L776" s="348"/>
    </row>
    <row r="777" spans="2:12">
      <c r="B777" s="345"/>
      <c r="C777" s="346"/>
      <c r="D777" s="273"/>
      <c r="E777" s="273"/>
      <c r="F777" s="273"/>
      <c r="G777" s="273"/>
      <c r="H777" s="347" t="str">
        <f t="shared" si="22"/>
        <v/>
      </c>
      <c r="I777" s="274" t="str">
        <f t="shared" si="23"/>
        <v/>
      </c>
      <c r="J777" s="335"/>
      <c r="K777" s="273"/>
      <c r="L777" s="348"/>
    </row>
    <row r="778" spans="2:12">
      <c r="B778" s="345"/>
      <c r="C778" s="346"/>
      <c r="D778" s="273"/>
      <c r="E778" s="273"/>
      <c r="F778" s="273"/>
      <c r="G778" s="273"/>
      <c r="H778" s="347" t="str">
        <f t="shared" si="22"/>
        <v/>
      </c>
      <c r="I778" s="274" t="str">
        <f t="shared" si="23"/>
        <v/>
      </c>
      <c r="J778" s="335"/>
      <c r="K778" s="273"/>
      <c r="L778" s="348"/>
    </row>
    <row r="779" spans="2:12">
      <c r="B779" s="345"/>
      <c r="C779" s="346"/>
      <c r="D779" s="273"/>
      <c r="E779" s="273"/>
      <c r="F779" s="273"/>
      <c r="G779" s="273"/>
      <c r="H779" s="347" t="str">
        <f t="shared" ref="H779:H842" si="24">IF(G779="Large","NRS",IF(G779="International","FRS",IF(G779="SME - Medium","SME",IF(G779="SME - Micro","SME",IF(G779="SME - Small","SME","")))))</f>
        <v/>
      </c>
      <c r="I779" s="274" t="str">
        <f t="shared" ref="I779:I842" si="25">IF(H779="FRS","No","")</f>
        <v/>
      </c>
      <c r="J779" s="335"/>
      <c r="K779" s="273"/>
      <c r="L779" s="348"/>
    </row>
    <row r="780" spans="2:12">
      <c r="B780" s="345"/>
      <c r="C780" s="346"/>
      <c r="D780" s="273"/>
      <c r="E780" s="273"/>
      <c r="F780" s="273"/>
      <c r="G780" s="273"/>
      <c r="H780" s="347" t="str">
        <f t="shared" si="24"/>
        <v/>
      </c>
      <c r="I780" s="274" t="str">
        <f t="shared" si="25"/>
        <v/>
      </c>
      <c r="J780" s="335"/>
      <c r="K780" s="273"/>
      <c r="L780" s="348"/>
    </row>
    <row r="781" spans="2:12">
      <c r="B781" s="345"/>
      <c r="C781" s="346"/>
      <c r="D781" s="273"/>
      <c r="E781" s="273"/>
      <c r="F781" s="273"/>
      <c r="G781" s="273"/>
      <c r="H781" s="347" t="str">
        <f t="shared" si="24"/>
        <v/>
      </c>
      <c r="I781" s="274" t="str">
        <f t="shared" si="25"/>
        <v/>
      </c>
      <c r="J781" s="335"/>
      <c r="K781" s="273"/>
      <c r="L781" s="348"/>
    </row>
    <row r="782" spans="2:12">
      <c r="B782" s="345"/>
      <c r="C782" s="346"/>
      <c r="D782" s="273"/>
      <c r="E782" s="273"/>
      <c r="F782" s="273"/>
      <c r="G782" s="273"/>
      <c r="H782" s="347" t="str">
        <f t="shared" si="24"/>
        <v/>
      </c>
      <c r="I782" s="274" t="str">
        <f t="shared" si="25"/>
        <v/>
      </c>
      <c r="J782" s="335"/>
      <c r="K782" s="273"/>
      <c r="L782" s="348"/>
    </row>
    <row r="783" spans="2:12">
      <c r="B783" s="345"/>
      <c r="C783" s="346"/>
      <c r="D783" s="273"/>
      <c r="E783" s="273"/>
      <c r="F783" s="273"/>
      <c r="G783" s="273"/>
      <c r="H783" s="347" t="str">
        <f t="shared" si="24"/>
        <v/>
      </c>
      <c r="I783" s="274" t="str">
        <f t="shared" si="25"/>
        <v/>
      </c>
      <c r="J783" s="335"/>
      <c r="K783" s="273"/>
      <c r="L783" s="348"/>
    </row>
    <row r="784" spans="2:12">
      <c r="B784" s="345"/>
      <c r="C784" s="346"/>
      <c r="D784" s="273"/>
      <c r="E784" s="273"/>
      <c r="F784" s="273"/>
      <c r="G784" s="273"/>
      <c r="H784" s="347" t="str">
        <f t="shared" si="24"/>
        <v/>
      </c>
      <c r="I784" s="274" t="str">
        <f t="shared" si="25"/>
        <v/>
      </c>
      <c r="J784" s="335"/>
      <c r="K784" s="273"/>
      <c r="L784" s="348"/>
    </row>
    <row r="785" spans="2:12">
      <c r="B785" s="345"/>
      <c r="C785" s="346"/>
      <c r="D785" s="273"/>
      <c r="E785" s="273"/>
      <c r="F785" s="273"/>
      <c r="G785" s="273"/>
      <c r="H785" s="347" t="str">
        <f t="shared" si="24"/>
        <v/>
      </c>
      <c r="I785" s="274" t="str">
        <f t="shared" si="25"/>
        <v/>
      </c>
      <c r="J785" s="335"/>
      <c r="K785" s="273"/>
      <c r="L785" s="348"/>
    </row>
    <row r="786" spans="2:12">
      <c r="B786" s="345"/>
      <c r="C786" s="346"/>
      <c r="D786" s="273"/>
      <c r="E786" s="273"/>
      <c r="F786" s="273"/>
      <c r="G786" s="273"/>
      <c r="H786" s="347" t="str">
        <f t="shared" si="24"/>
        <v/>
      </c>
      <c r="I786" s="274" t="str">
        <f t="shared" si="25"/>
        <v/>
      </c>
      <c r="J786" s="335"/>
      <c r="K786" s="273"/>
      <c r="L786" s="348"/>
    </row>
    <row r="787" spans="2:12">
      <c r="B787" s="345"/>
      <c r="C787" s="346"/>
      <c r="D787" s="273"/>
      <c r="E787" s="273"/>
      <c r="F787" s="273"/>
      <c r="G787" s="273"/>
      <c r="H787" s="347" t="str">
        <f t="shared" si="24"/>
        <v/>
      </c>
      <c r="I787" s="274" t="str">
        <f t="shared" si="25"/>
        <v/>
      </c>
      <c r="J787" s="335"/>
      <c r="K787" s="273"/>
      <c r="L787" s="348"/>
    </row>
    <row r="788" spans="2:12">
      <c r="B788" s="345"/>
      <c r="C788" s="346"/>
      <c r="D788" s="273"/>
      <c r="E788" s="273"/>
      <c r="F788" s="273"/>
      <c r="G788" s="273"/>
      <c r="H788" s="347" t="str">
        <f t="shared" si="24"/>
        <v/>
      </c>
      <c r="I788" s="274" t="str">
        <f t="shared" si="25"/>
        <v/>
      </c>
      <c r="J788" s="335"/>
      <c r="K788" s="273"/>
      <c r="L788" s="348"/>
    </row>
    <row r="789" spans="2:12">
      <c r="B789" s="345"/>
      <c r="C789" s="346"/>
      <c r="D789" s="273"/>
      <c r="E789" s="273"/>
      <c r="F789" s="273"/>
      <c r="G789" s="273"/>
      <c r="H789" s="347" t="str">
        <f t="shared" si="24"/>
        <v/>
      </c>
      <c r="I789" s="274" t="str">
        <f t="shared" si="25"/>
        <v/>
      </c>
      <c r="J789" s="335"/>
      <c r="K789" s="273"/>
      <c r="L789" s="348"/>
    </row>
    <row r="790" spans="2:12">
      <c r="B790" s="345"/>
      <c r="C790" s="346"/>
      <c r="D790" s="273"/>
      <c r="E790" s="273"/>
      <c r="F790" s="273"/>
      <c r="G790" s="273"/>
      <c r="H790" s="347" t="str">
        <f t="shared" si="24"/>
        <v/>
      </c>
      <c r="I790" s="274" t="str">
        <f t="shared" si="25"/>
        <v/>
      </c>
      <c r="J790" s="335"/>
      <c r="K790" s="273"/>
      <c r="L790" s="348"/>
    </row>
    <row r="791" spans="2:12">
      <c r="B791" s="345"/>
      <c r="C791" s="346"/>
      <c r="D791" s="273"/>
      <c r="E791" s="273"/>
      <c r="F791" s="273"/>
      <c r="G791" s="273"/>
      <c r="H791" s="347" t="str">
        <f t="shared" si="24"/>
        <v/>
      </c>
      <c r="I791" s="274" t="str">
        <f t="shared" si="25"/>
        <v/>
      </c>
      <c r="J791" s="335"/>
      <c r="K791" s="273"/>
      <c r="L791" s="348"/>
    </row>
    <row r="792" spans="2:12">
      <c r="B792" s="345"/>
      <c r="C792" s="346"/>
      <c r="D792" s="273"/>
      <c r="E792" s="273"/>
      <c r="F792" s="273"/>
      <c r="G792" s="273"/>
      <c r="H792" s="347" t="str">
        <f t="shared" si="24"/>
        <v/>
      </c>
      <c r="I792" s="274" t="str">
        <f t="shared" si="25"/>
        <v/>
      </c>
      <c r="J792" s="335"/>
      <c r="K792" s="273"/>
      <c r="L792" s="348"/>
    </row>
    <row r="793" spans="2:12">
      <c r="B793" s="345"/>
      <c r="C793" s="346"/>
      <c r="D793" s="273"/>
      <c r="E793" s="273"/>
      <c r="F793" s="273"/>
      <c r="G793" s="273"/>
      <c r="H793" s="347" t="str">
        <f t="shared" si="24"/>
        <v/>
      </c>
      <c r="I793" s="274" t="str">
        <f t="shared" si="25"/>
        <v/>
      </c>
      <c r="J793" s="335"/>
      <c r="K793" s="273"/>
      <c r="L793" s="348"/>
    </row>
    <row r="794" spans="2:12">
      <c r="B794" s="345"/>
      <c r="C794" s="346"/>
      <c r="D794" s="273"/>
      <c r="E794" s="273"/>
      <c r="F794" s="273"/>
      <c r="G794" s="273"/>
      <c r="H794" s="347" t="str">
        <f t="shared" si="24"/>
        <v/>
      </c>
      <c r="I794" s="274" t="str">
        <f t="shared" si="25"/>
        <v/>
      </c>
      <c r="J794" s="335"/>
      <c r="K794" s="273"/>
      <c r="L794" s="348"/>
    </row>
    <row r="795" spans="2:12">
      <c r="B795" s="345"/>
      <c r="C795" s="346"/>
      <c r="D795" s="273"/>
      <c r="E795" s="273"/>
      <c r="F795" s="273"/>
      <c r="G795" s="273"/>
      <c r="H795" s="347" t="str">
        <f t="shared" si="24"/>
        <v/>
      </c>
      <c r="I795" s="274" t="str">
        <f t="shared" si="25"/>
        <v/>
      </c>
      <c r="J795" s="335"/>
      <c r="K795" s="273"/>
      <c r="L795" s="348"/>
    </row>
    <row r="796" spans="2:12">
      <c r="B796" s="345"/>
      <c r="C796" s="346"/>
      <c r="D796" s="273"/>
      <c r="E796" s="273"/>
      <c r="F796" s="273"/>
      <c r="G796" s="273"/>
      <c r="H796" s="347" t="str">
        <f t="shared" si="24"/>
        <v/>
      </c>
      <c r="I796" s="274" t="str">
        <f t="shared" si="25"/>
        <v/>
      </c>
      <c r="J796" s="335"/>
      <c r="K796" s="273"/>
      <c r="L796" s="348"/>
    </row>
    <row r="797" spans="2:12">
      <c r="B797" s="345"/>
      <c r="C797" s="346"/>
      <c r="D797" s="273"/>
      <c r="E797" s="273"/>
      <c r="F797" s="273"/>
      <c r="G797" s="273"/>
      <c r="H797" s="347" t="str">
        <f t="shared" si="24"/>
        <v/>
      </c>
      <c r="I797" s="274" t="str">
        <f t="shared" si="25"/>
        <v/>
      </c>
      <c r="J797" s="335"/>
      <c r="K797" s="273"/>
      <c r="L797" s="348"/>
    </row>
    <row r="798" spans="2:12">
      <c r="B798" s="345"/>
      <c r="C798" s="346"/>
      <c r="D798" s="273"/>
      <c r="E798" s="273"/>
      <c r="F798" s="273"/>
      <c r="G798" s="273"/>
      <c r="H798" s="347" t="str">
        <f t="shared" si="24"/>
        <v/>
      </c>
      <c r="I798" s="274" t="str">
        <f t="shared" si="25"/>
        <v/>
      </c>
      <c r="J798" s="335"/>
      <c r="K798" s="273"/>
      <c r="L798" s="348"/>
    </row>
    <row r="799" spans="2:12">
      <c r="B799" s="345"/>
      <c r="C799" s="346"/>
      <c r="D799" s="273"/>
      <c r="E799" s="273"/>
      <c r="F799" s="273"/>
      <c r="G799" s="273"/>
      <c r="H799" s="347" t="str">
        <f t="shared" si="24"/>
        <v/>
      </c>
      <c r="I799" s="274" t="str">
        <f t="shared" si="25"/>
        <v/>
      </c>
      <c r="J799" s="335"/>
      <c r="K799" s="273"/>
      <c r="L799" s="348"/>
    </row>
    <row r="800" spans="2:12">
      <c r="B800" s="345"/>
      <c r="C800" s="346"/>
      <c r="D800" s="273"/>
      <c r="E800" s="273"/>
      <c r="F800" s="273"/>
      <c r="G800" s="273"/>
      <c r="H800" s="347" t="str">
        <f t="shared" si="24"/>
        <v/>
      </c>
      <c r="I800" s="274" t="str">
        <f t="shared" si="25"/>
        <v/>
      </c>
      <c r="J800" s="335"/>
      <c r="K800" s="273"/>
      <c r="L800" s="348"/>
    </row>
    <row r="801" spans="2:12">
      <c r="B801" s="345"/>
      <c r="C801" s="346"/>
      <c r="D801" s="273"/>
      <c r="E801" s="273"/>
      <c r="F801" s="273"/>
      <c r="G801" s="273"/>
      <c r="H801" s="347" t="str">
        <f t="shared" si="24"/>
        <v/>
      </c>
      <c r="I801" s="274" t="str">
        <f t="shared" si="25"/>
        <v/>
      </c>
      <c r="J801" s="335"/>
      <c r="K801" s="273"/>
      <c r="L801" s="348"/>
    </row>
    <row r="802" spans="2:12">
      <c r="B802" s="345"/>
      <c r="C802" s="346"/>
      <c r="D802" s="273"/>
      <c r="E802" s="273"/>
      <c r="F802" s="273"/>
      <c r="G802" s="273"/>
      <c r="H802" s="347" t="str">
        <f t="shared" si="24"/>
        <v/>
      </c>
      <c r="I802" s="274" t="str">
        <f t="shared" si="25"/>
        <v/>
      </c>
      <c r="J802" s="335"/>
      <c r="K802" s="273"/>
      <c r="L802" s="348"/>
    </row>
    <row r="803" spans="2:12">
      <c r="B803" s="345"/>
      <c r="C803" s="346"/>
      <c r="D803" s="273"/>
      <c r="E803" s="273"/>
      <c r="F803" s="273"/>
      <c r="G803" s="273"/>
      <c r="H803" s="347" t="str">
        <f t="shared" si="24"/>
        <v/>
      </c>
      <c r="I803" s="274" t="str">
        <f t="shared" si="25"/>
        <v/>
      </c>
      <c r="J803" s="335"/>
      <c r="K803" s="273"/>
      <c r="L803" s="348"/>
    </row>
    <row r="804" spans="2:12">
      <c r="B804" s="345"/>
      <c r="C804" s="346"/>
      <c r="D804" s="273"/>
      <c r="E804" s="273"/>
      <c r="F804" s="273"/>
      <c r="G804" s="273"/>
      <c r="H804" s="347" t="str">
        <f t="shared" si="24"/>
        <v/>
      </c>
      <c r="I804" s="274" t="str">
        <f t="shared" si="25"/>
        <v/>
      </c>
      <c r="J804" s="335"/>
      <c r="K804" s="273"/>
      <c r="L804" s="348"/>
    </row>
    <row r="805" spans="2:12">
      <c r="B805" s="345"/>
      <c r="C805" s="346"/>
      <c r="D805" s="273"/>
      <c r="E805" s="273"/>
      <c r="F805" s="273"/>
      <c r="G805" s="273"/>
      <c r="H805" s="347" t="str">
        <f t="shared" si="24"/>
        <v/>
      </c>
      <c r="I805" s="274" t="str">
        <f t="shared" si="25"/>
        <v/>
      </c>
      <c r="J805" s="335"/>
      <c r="K805" s="273"/>
      <c r="L805" s="348"/>
    </row>
    <row r="806" spans="2:12">
      <c r="B806" s="345"/>
      <c r="C806" s="346"/>
      <c r="D806" s="273"/>
      <c r="E806" s="273"/>
      <c r="F806" s="273"/>
      <c r="G806" s="273"/>
      <c r="H806" s="347" t="str">
        <f t="shared" si="24"/>
        <v/>
      </c>
      <c r="I806" s="274" t="str">
        <f t="shared" si="25"/>
        <v/>
      </c>
      <c r="J806" s="335"/>
      <c r="K806" s="273"/>
      <c r="L806" s="348"/>
    </row>
    <row r="807" spans="2:12">
      <c r="B807" s="345"/>
      <c r="C807" s="346"/>
      <c r="D807" s="273"/>
      <c r="E807" s="273"/>
      <c r="F807" s="273"/>
      <c r="G807" s="273"/>
      <c r="H807" s="347" t="str">
        <f t="shared" si="24"/>
        <v/>
      </c>
      <c r="I807" s="274" t="str">
        <f t="shared" si="25"/>
        <v/>
      </c>
      <c r="J807" s="335"/>
      <c r="K807" s="273"/>
      <c r="L807" s="348"/>
    </row>
    <row r="808" spans="2:12">
      <c r="B808" s="345"/>
      <c r="C808" s="346"/>
      <c r="D808" s="273"/>
      <c r="E808" s="273"/>
      <c r="F808" s="273"/>
      <c r="G808" s="273"/>
      <c r="H808" s="347" t="str">
        <f t="shared" si="24"/>
        <v/>
      </c>
      <c r="I808" s="274" t="str">
        <f t="shared" si="25"/>
        <v/>
      </c>
      <c r="J808" s="335"/>
      <c r="K808" s="273"/>
      <c r="L808" s="348"/>
    </row>
    <row r="809" spans="2:12">
      <c r="B809" s="345"/>
      <c r="C809" s="346"/>
      <c r="D809" s="273"/>
      <c r="E809" s="273"/>
      <c r="F809" s="273"/>
      <c r="G809" s="273"/>
      <c r="H809" s="347" t="str">
        <f t="shared" si="24"/>
        <v/>
      </c>
      <c r="I809" s="274" t="str">
        <f t="shared" si="25"/>
        <v/>
      </c>
      <c r="J809" s="335"/>
      <c r="K809" s="273"/>
      <c r="L809" s="348"/>
    </row>
    <row r="810" spans="2:12">
      <c r="B810" s="345"/>
      <c r="C810" s="346"/>
      <c r="D810" s="273"/>
      <c r="E810" s="273"/>
      <c r="F810" s="273"/>
      <c r="G810" s="273"/>
      <c r="H810" s="347" t="str">
        <f t="shared" si="24"/>
        <v/>
      </c>
      <c r="I810" s="274" t="str">
        <f t="shared" si="25"/>
        <v/>
      </c>
      <c r="J810" s="335"/>
      <c r="K810" s="273"/>
      <c r="L810" s="348"/>
    </row>
    <row r="811" spans="2:12">
      <c r="B811" s="345"/>
      <c r="C811" s="346"/>
      <c r="D811" s="273"/>
      <c r="E811" s="273"/>
      <c r="F811" s="273"/>
      <c r="G811" s="273"/>
      <c r="H811" s="347" t="str">
        <f t="shared" si="24"/>
        <v/>
      </c>
      <c r="I811" s="274" t="str">
        <f t="shared" si="25"/>
        <v/>
      </c>
      <c r="J811" s="335"/>
      <c r="K811" s="273"/>
      <c r="L811" s="348"/>
    </row>
    <row r="812" spans="2:12">
      <c r="B812" s="345"/>
      <c r="C812" s="346"/>
      <c r="D812" s="273"/>
      <c r="E812" s="273"/>
      <c r="F812" s="273"/>
      <c r="G812" s="273"/>
      <c r="H812" s="347" t="str">
        <f t="shared" si="24"/>
        <v/>
      </c>
      <c r="I812" s="274" t="str">
        <f t="shared" si="25"/>
        <v/>
      </c>
      <c r="J812" s="335"/>
      <c r="K812" s="273"/>
      <c r="L812" s="348"/>
    </row>
    <row r="813" spans="2:12">
      <c r="B813" s="345"/>
      <c r="C813" s="346"/>
      <c r="D813" s="273"/>
      <c r="E813" s="273"/>
      <c r="F813" s="273"/>
      <c r="G813" s="273"/>
      <c r="H813" s="347" t="str">
        <f t="shared" si="24"/>
        <v/>
      </c>
      <c r="I813" s="274" t="str">
        <f t="shared" si="25"/>
        <v/>
      </c>
      <c r="J813" s="335"/>
      <c r="K813" s="273"/>
      <c r="L813" s="348"/>
    </row>
    <row r="814" spans="2:12">
      <c r="B814" s="345"/>
      <c r="C814" s="346"/>
      <c r="D814" s="273"/>
      <c r="E814" s="273"/>
      <c r="F814" s="273"/>
      <c r="G814" s="273"/>
      <c r="H814" s="347" t="str">
        <f t="shared" si="24"/>
        <v/>
      </c>
      <c r="I814" s="274" t="str">
        <f t="shared" si="25"/>
        <v/>
      </c>
      <c r="J814" s="335"/>
      <c r="K814" s="273"/>
      <c r="L814" s="348"/>
    </row>
    <row r="815" spans="2:12">
      <c r="B815" s="345"/>
      <c r="C815" s="346"/>
      <c r="D815" s="273"/>
      <c r="E815" s="273"/>
      <c r="F815" s="273"/>
      <c r="G815" s="273"/>
      <c r="H815" s="347" t="str">
        <f t="shared" si="24"/>
        <v/>
      </c>
      <c r="I815" s="274" t="str">
        <f t="shared" si="25"/>
        <v/>
      </c>
      <c r="J815" s="335"/>
      <c r="K815" s="273"/>
      <c r="L815" s="348"/>
    </row>
    <row r="816" spans="2:12">
      <c r="B816" s="345"/>
      <c r="C816" s="346"/>
      <c r="D816" s="273"/>
      <c r="E816" s="273"/>
      <c r="F816" s="273"/>
      <c r="G816" s="273"/>
      <c r="H816" s="347" t="str">
        <f t="shared" si="24"/>
        <v/>
      </c>
      <c r="I816" s="274" t="str">
        <f t="shared" si="25"/>
        <v/>
      </c>
      <c r="J816" s="335"/>
      <c r="K816" s="273"/>
      <c r="L816" s="348"/>
    </row>
    <row r="817" spans="2:12">
      <c r="B817" s="345"/>
      <c r="C817" s="346"/>
      <c r="D817" s="273"/>
      <c r="E817" s="273"/>
      <c r="F817" s="273"/>
      <c r="G817" s="273"/>
      <c r="H817" s="347" t="str">
        <f t="shared" si="24"/>
        <v/>
      </c>
      <c r="I817" s="274" t="str">
        <f t="shared" si="25"/>
        <v/>
      </c>
      <c r="J817" s="335"/>
      <c r="K817" s="273"/>
      <c r="L817" s="348"/>
    </row>
    <row r="818" spans="2:12">
      <c r="B818" s="345"/>
      <c r="C818" s="346"/>
      <c r="D818" s="273"/>
      <c r="E818" s="273"/>
      <c r="F818" s="273"/>
      <c r="G818" s="273"/>
      <c r="H818" s="347" t="str">
        <f t="shared" si="24"/>
        <v/>
      </c>
      <c r="I818" s="274" t="str">
        <f t="shared" si="25"/>
        <v/>
      </c>
      <c r="J818" s="335"/>
      <c r="K818" s="273"/>
      <c r="L818" s="348"/>
    </row>
    <row r="819" spans="2:12">
      <c r="B819" s="345"/>
      <c r="C819" s="346"/>
      <c r="D819" s="273"/>
      <c r="E819" s="273"/>
      <c r="F819" s="273"/>
      <c r="G819" s="273"/>
      <c r="H819" s="347" t="str">
        <f t="shared" si="24"/>
        <v/>
      </c>
      <c r="I819" s="274" t="str">
        <f t="shared" si="25"/>
        <v/>
      </c>
      <c r="J819" s="335"/>
      <c r="K819" s="273"/>
      <c r="L819" s="348"/>
    </row>
    <row r="820" spans="2:12">
      <c r="B820" s="345"/>
      <c r="C820" s="346"/>
      <c r="D820" s="273"/>
      <c r="E820" s="273"/>
      <c r="F820" s="273"/>
      <c r="G820" s="273"/>
      <c r="H820" s="347" t="str">
        <f t="shared" si="24"/>
        <v/>
      </c>
      <c r="I820" s="274" t="str">
        <f t="shared" si="25"/>
        <v/>
      </c>
      <c r="J820" s="335"/>
      <c r="K820" s="273"/>
      <c r="L820" s="348"/>
    </row>
    <row r="821" spans="2:12">
      <c r="B821" s="345"/>
      <c r="C821" s="346"/>
      <c r="D821" s="273"/>
      <c r="E821" s="273"/>
      <c r="F821" s="273"/>
      <c r="G821" s="273"/>
      <c r="H821" s="347" t="str">
        <f t="shared" si="24"/>
        <v/>
      </c>
      <c r="I821" s="274" t="str">
        <f t="shared" si="25"/>
        <v/>
      </c>
      <c r="J821" s="335"/>
      <c r="K821" s="273"/>
      <c r="L821" s="348"/>
    </row>
    <row r="822" spans="2:12">
      <c r="B822" s="345"/>
      <c r="C822" s="346"/>
      <c r="D822" s="273"/>
      <c r="E822" s="273"/>
      <c r="F822" s="273"/>
      <c r="G822" s="273"/>
      <c r="H822" s="347" t="str">
        <f t="shared" si="24"/>
        <v/>
      </c>
      <c r="I822" s="274" t="str">
        <f t="shared" si="25"/>
        <v/>
      </c>
      <c r="J822" s="335"/>
      <c r="K822" s="273"/>
      <c r="L822" s="348"/>
    </row>
    <row r="823" spans="2:12">
      <c r="B823" s="345"/>
      <c r="C823" s="346"/>
      <c r="D823" s="273"/>
      <c r="E823" s="273"/>
      <c r="F823" s="273"/>
      <c r="G823" s="273"/>
      <c r="H823" s="347" t="str">
        <f t="shared" si="24"/>
        <v/>
      </c>
      <c r="I823" s="274" t="str">
        <f t="shared" si="25"/>
        <v/>
      </c>
      <c r="J823" s="335"/>
      <c r="K823" s="273"/>
      <c r="L823" s="348"/>
    </row>
    <row r="824" spans="2:12">
      <c r="B824" s="345"/>
      <c r="C824" s="346"/>
      <c r="D824" s="273"/>
      <c r="E824" s="273"/>
      <c r="F824" s="273"/>
      <c r="G824" s="273"/>
      <c r="H824" s="347" t="str">
        <f t="shared" si="24"/>
        <v/>
      </c>
      <c r="I824" s="274" t="str">
        <f t="shared" si="25"/>
        <v/>
      </c>
      <c r="J824" s="335"/>
      <c r="K824" s="273"/>
      <c r="L824" s="348"/>
    </row>
    <row r="825" spans="2:12">
      <c r="B825" s="345"/>
      <c r="C825" s="346"/>
      <c r="D825" s="273"/>
      <c r="E825" s="273"/>
      <c r="F825" s="273"/>
      <c r="G825" s="273"/>
      <c r="H825" s="347" t="str">
        <f t="shared" si="24"/>
        <v/>
      </c>
      <c r="I825" s="274" t="str">
        <f t="shared" si="25"/>
        <v/>
      </c>
      <c r="J825" s="335"/>
      <c r="K825" s="273"/>
      <c r="L825" s="348"/>
    </row>
    <row r="826" spans="2:12">
      <c r="B826" s="345"/>
      <c r="C826" s="346"/>
      <c r="D826" s="273"/>
      <c r="E826" s="273"/>
      <c r="F826" s="273"/>
      <c r="G826" s="273"/>
      <c r="H826" s="347" t="str">
        <f t="shared" si="24"/>
        <v/>
      </c>
      <c r="I826" s="274" t="str">
        <f t="shared" si="25"/>
        <v/>
      </c>
      <c r="J826" s="335"/>
      <c r="K826" s="273"/>
      <c r="L826" s="348"/>
    </row>
    <row r="827" spans="2:12">
      <c r="B827" s="345"/>
      <c r="C827" s="346"/>
      <c r="D827" s="273"/>
      <c r="E827" s="273"/>
      <c r="F827" s="273"/>
      <c r="G827" s="273"/>
      <c r="H827" s="347" t="str">
        <f t="shared" si="24"/>
        <v/>
      </c>
      <c r="I827" s="274" t="str">
        <f t="shared" si="25"/>
        <v/>
      </c>
      <c r="J827" s="335"/>
      <c r="K827" s="273"/>
      <c r="L827" s="348"/>
    </row>
    <row r="828" spans="2:12">
      <c r="B828" s="345"/>
      <c r="C828" s="346"/>
      <c r="D828" s="273"/>
      <c r="E828" s="273"/>
      <c r="F828" s="273"/>
      <c r="G828" s="273"/>
      <c r="H828" s="347" t="str">
        <f t="shared" si="24"/>
        <v/>
      </c>
      <c r="I828" s="274" t="str">
        <f t="shared" si="25"/>
        <v/>
      </c>
      <c r="J828" s="335"/>
      <c r="K828" s="273"/>
      <c r="L828" s="348"/>
    </row>
    <row r="829" spans="2:12">
      <c r="B829" s="345"/>
      <c r="C829" s="346"/>
      <c r="D829" s="273"/>
      <c r="E829" s="273"/>
      <c r="F829" s="273"/>
      <c r="G829" s="273"/>
      <c r="H829" s="347" t="str">
        <f t="shared" si="24"/>
        <v/>
      </c>
      <c r="I829" s="274" t="str">
        <f t="shared" si="25"/>
        <v/>
      </c>
      <c r="J829" s="335"/>
      <c r="K829" s="273"/>
      <c r="L829" s="348"/>
    </row>
    <row r="830" spans="2:12">
      <c r="B830" s="345"/>
      <c r="C830" s="346"/>
      <c r="D830" s="273"/>
      <c r="E830" s="273"/>
      <c r="F830" s="273"/>
      <c r="G830" s="273"/>
      <c r="H830" s="347" t="str">
        <f t="shared" si="24"/>
        <v/>
      </c>
      <c r="I830" s="274" t="str">
        <f t="shared" si="25"/>
        <v/>
      </c>
      <c r="J830" s="335"/>
      <c r="K830" s="273"/>
      <c r="L830" s="348"/>
    </row>
    <row r="831" spans="2:12">
      <c r="B831" s="345"/>
      <c r="C831" s="346"/>
      <c r="D831" s="273"/>
      <c r="E831" s="273"/>
      <c r="F831" s="273"/>
      <c r="G831" s="273"/>
      <c r="H831" s="347" t="str">
        <f t="shared" si="24"/>
        <v/>
      </c>
      <c r="I831" s="274" t="str">
        <f t="shared" si="25"/>
        <v/>
      </c>
      <c r="J831" s="335"/>
      <c r="K831" s="273"/>
      <c r="L831" s="348"/>
    </row>
    <row r="832" spans="2:12">
      <c r="B832" s="345"/>
      <c r="C832" s="346"/>
      <c r="D832" s="273"/>
      <c r="E832" s="273"/>
      <c r="F832" s="273"/>
      <c r="G832" s="273"/>
      <c r="H832" s="347" t="str">
        <f t="shared" si="24"/>
        <v/>
      </c>
      <c r="I832" s="274" t="str">
        <f t="shared" si="25"/>
        <v/>
      </c>
      <c r="J832" s="335"/>
      <c r="K832" s="273"/>
      <c r="L832" s="348"/>
    </row>
    <row r="833" spans="2:12">
      <c r="B833" s="345"/>
      <c r="C833" s="346"/>
      <c r="D833" s="273"/>
      <c r="E833" s="273"/>
      <c r="F833" s="273"/>
      <c r="G833" s="273"/>
      <c r="H833" s="347" t="str">
        <f t="shared" si="24"/>
        <v/>
      </c>
      <c r="I833" s="274" t="str">
        <f t="shared" si="25"/>
        <v/>
      </c>
      <c r="J833" s="335"/>
      <c r="K833" s="273"/>
      <c r="L833" s="348"/>
    </row>
    <row r="834" spans="2:12">
      <c r="B834" s="345"/>
      <c r="C834" s="346"/>
      <c r="D834" s="273"/>
      <c r="E834" s="273"/>
      <c r="F834" s="273"/>
      <c r="G834" s="273"/>
      <c r="H834" s="347" t="str">
        <f t="shared" si="24"/>
        <v/>
      </c>
      <c r="I834" s="274" t="str">
        <f t="shared" si="25"/>
        <v/>
      </c>
      <c r="J834" s="335"/>
      <c r="K834" s="273"/>
      <c r="L834" s="348"/>
    </row>
    <row r="835" spans="2:12">
      <c r="B835" s="345"/>
      <c r="C835" s="346"/>
      <c r="D835" s="273"/>
      <c r="E835" s="273"/>
      <c r="F835" s="273"/>
      <c r="G835" s="273"/>
      <c r="H835" s="347" t="str">
        <f t="shared" si="24"/>
        <v/>
      </c>
      <c r="I835" s="274" t="str">
        <f t="shared" si="25"/>
        <v/>
      </c>
      <c r="J835" s="335"/>
      <c r="K835" s="273"/>
      <c r="L835" s="348"/>
    </row>
    <row r="836" spans="2:12">
      <c r="B836" s="345"/>
      <c r="C836" s="346"/>
      <c r="D836" s="273"/>
      <c r="E836" s="273"/>
      <c r="F836" s="273"/>
      <c r="G836" s="273"/>
      <c r="H836" s="347" t="str">
        <f t="shared" si="24"/>
        <v/>
      </c>
      <c r="I836" s="274" t="str">
        <f t="shared" si="25"/>
        <v/>
      </c>
      <c r="J836" s="335"/>
      <c r="K836" s="273"/>
      <c r="L836" s="348"/>
    </row>
    <row r="837" spans="2:12">
      <c r="B837" s="345"/>
      <c r="C837" s="346"/>
      <c r="D837" s="273"/>
      <c r="E837" s="273"/>
      <c r="F837" s="273"/>
      <c r="G837" s="273"/>
      <c r="H837" s="347" t="str">
        <f t="shared" si="24"/>
        <v/>
      </c>
      <c r="I837" s="274" t="str">
        <f t="shared" si="25"/>
        <v/>
      </c>
      <c r="J837" s="335"/>
      <c r="K837" s="273"/>
      <c r="L837" s="348"/>
    </row>
    <row r="838" spans="2:12">
      <c r="B838" s="345"/>
      <c r="C838" s="346"/>
      <c r="D838" s="273"/>
      <c r="E838" s="273"/>
      <c r="F838" s="273"/>
      <c r="G838" s="273"/>
      <c r="H838" s="347" t="str">
        <f t="shared" si="24"/>
        <v/>
      </c>
      <c r="I838" s="274" t="str">
        <f t="shared" si="25"/>
        <v/>
      </c>
      <c r="J838" s="335"/>
      <c r="K838" s="273"/>
      <c r="L838" s="348"/>
    </row>
    <row r="839" spans="2:12">
      <c r="B839" s="345"/>
      <c r="C839" s="346"/>
      <c r="D839" s="273"/>
      <c r="E839" s="273"/>
      <c r="F839" s="273"/>
      <c r="G839" s="273"/>
      <c r="H839" s="347" t="str">
        <f t="shared" si="24"/>
        <v/>
      </c>
      <c r="I839" s="274" t="str">
        <f t="shared" si="25"/>
        <v/>
      </c>
      <c r="J839" s="335"/>
      <c r="K839" s="273"/>
      <c r="L839" s="348"/>
    </row>
    <row r="840" spans="2:12">
      <c r="B840" s="345"/>
      <c r="C840" s="346"/>
      <c r="D840" s="273"/>
      <c r="E840" s="273"/>
      <c r="F840" s="273"/>
      <c r="G840" s="273"/>
      <c r="H840" s="347" t="str">
        <f t="shared" si="24"/>
        <v/>
      </c>
      <c r="I840" s="274" t="str">
        <f t="shared" si="25"/>
        <v/>
      </c>
      <c r="J840" s="335"/>
      <c r="K840" s="273"/>
      <c r="L840" s="348"/>
    </row>
    <row r="841" spans="2:12">
      <c r="B841" s="345"/>
      <c r="C841" s="346"/>
      <c r="D841" s="273"/>
      <c r="E841" s="273"/>
      <c r="F841" s="273"/>
      <c r="G841" s="273"/>
      <c r="H841" s="347" t="str">
        <f t="shared" si="24"/>
        <v/>
      </c>
      <c r="I841" s="274" t="str">
        <f t="shared" si="25"/>
        <v/>
      </c>
      <c r="J841" s="335"/>
      <c r="K841" s="273"/>
      <c r="L841" s="348"/>
    </row>
    <row r="842" spans="2:12">
      <c r="B842" s="345"/>
      <c r="C842" s="346"/>
      <c r="D842" s="273"/>
      <c r="E842" s="273"/>
      <c r="F842" s="273"/>
      <c r="G842" s="273"/>
      <c r="H842" s="347" t="str">
        <f t="shared" si="24"/>
        <v/>
      </c>
      <c r="I842" s="274" t="str">
        <f t="shared" si="25"/>
        <v/>
      </c>
      <c r="J842" s="335"/>
      <c r="K842" s="273"/>
      <c r="L842" s="348"/>
    </row>
    <row r="843" spans="2:12">
      <c r="B843" s="345"/>
      <c r="C843" s="346"/>
      <c r="D843" s="273"/>
      <c r="E843" s="273"/>
      <c r="F843" s="273"/>
      <c r="G843" s="273"/>
      <c r="H843" s="347" t="str">
        <f t="shared" ref="H843:H906" si="26">IF(G843="Large","NRS",IF(G843="International","FRS",IF(G843="SME - Medium","SME",IF(G843="SME - Micro","SME",IF(G843="SME - Small","SME","")))))</f>
        <v/>
      </c>
      <c r="I843" s="274" t="str">
        <f t="shared" ref="I843:I906" si="27">IF(H843="FRS","No","")</f>
        <v/>
      </c>
      <c r="J843" s="335"/>
      <c r="K843" s="273"/>
      <c r="L843" s="348"/>
    </row>
    <row r="844" spans="2:12">
      <c r="B844" s="345"/>
      <c r="C844" s="346"/>
      <c r="D844" s="273"/>
      <c r="E844" s="273"/>
      <c r="F844" s="273"/>
      <c r="G844" s="273"/>
      <c r="H844" s="347" t="str">
        <f t="shared" si="26"/>
        <v/>
      </c>
      <c r="I844" s="274" t="str">
        <f t="shared" si="27"/>
        <v/>
      </c>
      <c r="J844" s="335"/>
      <c r="K844" s="273"/>
      <c r="L844" s="348"/>
    </row>
    <row r="845" spans="2:12">
      <c r="B845" s="345"/>
      <c r="C845" s="346"/>
      <c r="D845" s="273"/>
      <c r="E845" s="273"/>
      <c r="F845" s="273"/>
      <c r="G845" s="273"/>
      <c r="H845" s="347" t="str">
        <f t="shared" si="26"/>
        <v/>
      </c>
      <c r="I845" s="274" t="str">
        <f t="shared" si="27"/>
        <v/>
      </c>
      <c r="J845" s="335"/>
      <c r="K845" s="273"/>
      <c r="L845" s="348"/>
    </row>
    <row r="846" spans="2:12">
      <c r="B846" s="345"/>
      <c r="C846" s="346"/>
      <c r="D846" s="273"/>
      <c r="E846" s="273"/>
      <c r="F846" s="273"/>
      <c r="G846" s="273"/>
      <c r="H846" s="347" t="str">
        <f t="shared" si="26"/>
        <v/>
      </c>
      <c r="I846" s="274" t="str">
        <f t="shared" si="27"/>
        <v/>
      </c>
      <c r="J846" s="335"/>
      <c r="K846" s="273"/>
      <c r="L846" s="348"/>
    </row>
    <row r="847" spans="2:12">
      <c r="B847" s="345"/>
      <c r="C847" s="346"/>
      <c r="D847" s="273"/>
      <c r="E847" s="273"/>
      <c r="F847" s="273"/>
      <c r="G847" s="273"/>
      <c r="H847" s="347" t="str">
        <f t="shared" si="26"/>
        <v/>
      </c>
      <c r="I847" s="274" t="str">
        <f t="shared" si="27"/>
        <v/>
      </c>
      <c r="J847" s="335"/>
      <c r="K847" s="273"/>
      <c r="L847" s="348"/>
    </row>
    <row r="848" spans="2:12">
      <c r="B848" s="345"/>
      <c r="C848" s="346"/>
      <c r="D848" s="273"/>
      <c r="E848" s="273"/>
      <c r="F848" s="273"/>
      <c r="G848" s="273"/>
      <c r="H848" s="347" t="str">
        <f t="shared" si="26"/>
        <v/>
      </c>
      <c r="I848" s="274" t="str">
        <f t="shared" si="27"/>
        <v/>
      </c>
      <c r="J848" s="335"/>
      <c r="K848" s="273"/>
      <c r="L848" s="348"/>
    </row>
    <row r="849" spans="2:12">
      <c r="B849" s="345"/>
      <c r="C849" s="346"/>
      <c r="D849" s="273"/>
      <c r="E849" s="273"/>
      <c r="F849" s="273"/>
      <c r="G849" s="273"/>
      <c r="H849" s="347" t="str">
        <f t="shared" si="26"/>
        <v/>
      </c>
      <c r="I849" s="274" t="str">
        <f t="shared" si="27"/>
        <v/>
      </c>
      <c r="J849" s="335"/>
      <c r="K849" s="273"/>
      <c r="L849" s="348"/>
    </row>
    <row r="850" spans="2:12">
      <c r="B850" s="345"/>
      <c r="C850" s="346"/>
      <c r="D850" s="273"/>
      <c r="E850" s="273"/>
      <c r="F850" s="273"/>
      <c r="G850" s="273"/>
      <c r="H850" s="347" t="str">
        <f t="shared" si="26"/>
        <v/>
      </c>
      <c r="I850" s="274" t="str">
        <f t="shared" si="27"/>
        <v/>
      </c>
      <c r="J850" s="335"/>
      <c r="K850" s="273"/>
      <c r="L850" s="348"/>
    </row>
    <row r="851" spans="2:12">
      <c r="B851" s="345"/>
      <c r="C851" s="346"/>
      <c r="D851" s="273"/>
      <c r="E851" s="273"/>
      <c r="F851" s="273"/>
      <c r="G851" s="273"/>
      <c r="H851" s="347" t="str">
        <f t="shared" si="26"/>
        <v/>
      </c>
      <c r="I851" s="274" t="str">
        <f t="shared" si="27"/>
        <v/>
      </c>
      <c r="J851" s="335"/>
      <c r="K851" s="273"/>
      <c r="L851" s="348"/>
    </row>
    <row r="852" spans="2:12">
      <c r="B852" s="345"/>
      <c r="C852" s="346"/>
      <c r="D852" s="273"/>
      <c r="E852" s="273"/>
      <c r="F852" s="273"/>
      <c r="G852" s="273"/>
      <c r="H852" s="347" t="str">
        <f t="shared" si="26"/>
        <v/>
      </c>
      <c r="I852" s="274" t="str">
        <f t="shared" si="27"/>
        <v/>
      </c>
      <c r="J852" s="335"/>
      <c r="K852" s="273"/>
      <c r="L852" s="348"/>
    </row>
    <row r="853" spans="2:12">
      <c r="B853" s="345"/>
      <c r="C853" s="346"/>
      <c r="D853" s="273"/>
      <c r="E853" s="273"/>
      <c r="F853" s="273"/>
      <c r="G853" s="273"/>
      <c r="H853" s="347" t="str">
        <f t="shared" si="26"/>
        <v/>
      </c>
      <c r="I853" s="274" t="str">
        <f t="shared" si="27"/>
        <v/>
      </c>
      <c r="J853" s="335"/>
      <c r="K853" s="273"/>
      <c r="L853" s="348"/>
    </row>
    <row r="854" spans="2:12">
      <c r="B854" s="345"/>
      <c r="C854" s="346"/>
      <c r="D854" s="273"/>
      <c r="E854" s="273"/>
      <c r="F854" s="273"/>
      <c r="G854" s="273"/>
      <c r="H854" s="347" t="str">
        <f t="shared" si="26"/>
        <v/>
      </c>
      <c r="I854" s="274" t="str">
        <f t="shared" si="27"/>
        <v/>
      </c>
      <c r="J854" s="335"/>
      <c r="K854" s="273"/>
      <c r="L854" s="348"/>
    </row>
    <row r="855" spans="2:12">
      <c r="B855" s="345"/>
      <c r="C855" s="346"/>
      <c r="D855" s="273"/>
      <c r="E855" s="273"/>
      <c r="F855" s="273"/>
      <c r="G855" s="273"/>
      <c r="H855" s="347" t="str">
        <f t="shared" si="26"/>
        <v/>
      </c>
      <c r="I855" s="274" t="str">
        <f t="shared" si="27"/>
        <v/>
      </c>
      <c r="J855" s="335"/>
      <c r="K855" s="273"/>
      <c r="L855" s="348"/>
    </row>
    <row r="856" spans="2:12">
      <c r="B856" s="345"/>
      <c r="C856" s="346"/>
      <c r="D856" s="273"/>
      <c r="E856" s="273"/>
      <c r="F856" s="273"/>
      <c r="G856" s="273"/>
      <c r="H856" s="347" t="str">
        <f t="shared" si="26"/>
        <v/>
      </c>
      <c r="I856" s="274" t="str">
        <f t="shared" si="27"/>
        <v/>
      </c>
      <c r="J856" s="335"/>
      <c r="K856" s="273"/>
      <c r="L856" s="348"/>
    </row>
    <row r="857" spans="2:12">
      <c r="B857" s="345"/>
      <c r="C857" s="346"/>
      <c r="D857" s="273"/>
      <c r="E857" s="273"/>
      <c r="F857" s="273"/>
      <c r="G857" s="273"/>
      <c r="H857" s="347" t="str">
        <f t="shared" si="26"/>
        <v/>
      </c>
      <c r="I857" s="274" t="str">
        <f t="shared" si="27"/>
        <v/>
      </c>
      <c r="J857" s="335"/>
      <c r="K857" s="273"/>
      <c r="L857" s="348"/>
    </row>
    <row r="858" spans="2:12">
      <c r="B858" s="345"/>
      <c r="C858" s="346"/>
      <c r="D858" s="273"/>
      <c r="E858" s="273"/>
      <c r="F858" s="273"/>
      <c r="G858" s="273"/>
      <c r="H858" s="347" t="str">
        <f t="shared" si="26"/>
        <v/>
      </c>
      <c r="I858" s="274" t="str">
        <f t="shared" si="27"/>
        <v/>
      </c>
      <c r="J858" s="335"/>
      <c r="K858" s="273"/>
      <c r="L858" s="348"/>
    </row>
    <row r="859" spans="2:12">
      <c r="B859" s="345"/>
      <c r="C859" s="346"/>
      <c r="D859" s="273"/>
      <c r="E859" s="273"/>
      <c r="F859" s="273"/>
      <c r="G859" s="273"/>
      <c r="H859" s="347" t="str">
        <f t="shared" si="26"/>
        <v/>
      </c>
      <c r="I859" s="274" t="str">
        <f t="shared" si="27"/>
        <v/>
      </c>
      <c r="J859" s="335"/>
      <c r="K859" s="273"/>
      <c r="L859" s="348"/>
    </row>
    <row r="860" spans="2:12">
      <c r="B860" s="345"/>
      <c r="C860" s="346"/>
      <c r="D860" s="273"/>
      <c r="E860" s="273"/>
      <c r="F860" s="273"/>
      <c r="G860" s="273"/>
      <c r="H860" s="347" t="str">
        <f t="shared" si="26"/>
        <v/>
      </c>
      <c r="I860" s="274" t="str">
        <f t="shared" si="27"/>
        <v/>
      </c>
      <c r="J860" s="335"/>
      <c r="K860" s="273"/>
      <c r="L860" s="348"/>
    </row>
    <row r="861" spans="2:12">
      <c r="B861" s="345"/>
      <c r="C861" s="346"/>
      <c r="D861" s="273"/>
      <c r="E861" s="273"/>
      <c r="F861" s="273"/>
      <c r="G861" s="273"/>
      <c r="H861" s="347" t="str">
        <f t="shared" si="26"/>
        <v/>
      </c>
      <c r="I861" s="274" t="str">
        <f t="shared" si="27"/>
        <v/>
      </c>
      <c r="J861" s="335"/>
      <c r="K861" s="273"/>
      <c r="L861" s="348"/>
    </row>
    <row r="862" spans="2:12">
      <c r="B862" s="345"/>
      <c r="C862" s="346"/>
      <c r="D862" s="273"/>
      <c r="E862" s="273"/>
      <c r="F862" s="273"/>
      <c r="G862" s="273"/>
      <c r="H862" s="347" t="str">
        <f t="shared" si="26"/>
        <v/>
      </c>
      <c r="I862" s="274" t="str">
        <f t="shared" si="27"/>
        <v/>
      </c>
      <c r="J862" s="335"/>
      <c r="K862" s="273"/>
      <c r="L862" s="348"/>
    </row>
    <row r="863" spans="2:12">
      <c r="B863" s="345"/>
      <c r="C863" s="346"/>
      <c r="D863" s="273"/>
      <c r="E863" s="273"/>
      <c r="F863" s="273"/>
      <c r="G863" s="273"/>
      <c r="H863" s="347" t="str">
        <f t="shared" si="26"/>
        <v/>
      </c>
      <c r="I863" s="274" t="str">
        <f t="shared" si="27"/>
        <v/>
      </c>
      <c r="J863" s="335"/>
      <c r="K863" s="273"/>
      <c r="L863" s="348"/>
    </row>
    <row r="864" spans="2:12">
      <c r="B864" s="345"/>
      <c r="C864" s="346"/>
      <c r="D864" s="273"/>
      <c r="E864" s="273"/>
      <c r="F864" s="273"/>
      <c r="G864" s="273"/>
      <c r="H864" s="347" t="str">
        <f t="shared" si="26"/>
        <v/>
      </c>
      <c r="I864" s="274" t="str">
        <f t="shared" si="27"/>
        <v/>
      </c>
      <c r="J864" s="335"/>
      <c r="K864" s="273"/>
      <c r="L864" s="348"/>
    </row>
    <row r="865" spans="2:12">
      <c r="B865" s="345"/>
      <c r="C865" s="346"/>
      <c r="D865" s="273"/>
      <c r="E865" s="273"/>
      <c r="F865" s="273"/>
      <c r="G865" s="273"/>
      <c r="H865" s="347" t="str">
        <f t="shared" si="26"/>
        <v/>
      </c>
      <c r="I865" s="274" t="str">
        <f t="shared" si="27"/>
        <v/>
      </c>
      <c r="J865" s="335"/>
      <c r="K865" s="273"/>
      <c r="L865" s="348"/>
    </row>
    <row r="866" spans="2:12">
      <c r="B866" s="345"/>
      <c r="C866" s="346"/>
      <c r="D866" s="273"/>
      <c r="E866" s="273"/>
      <c r="F866" s="273"/>
      <c r="G866" s="273"/>
      <c r="H866" s="347" t="str">
        <f t="shared" si="26"/>
        <v/>
      </c>
      <c r="I866" s="274" t="str">
        <f t="shared" si="27"/>
        <v/>
      </c>
      <c r="J866" s="335"/>
      <c r="K866" s="273"/>
      <c r="L866" s="348"/>
    </row>
    <row r="867" spans="2:12">
      <c r="B867" s="345"/>
      <c r="C867" s="346"/>
      <c r="D867" s="273"/>
      <c r="E867" s="273"/>
      <c r="F867" s="273"/>
      <c r="G867" s="273"/>
      <c r="H867" s="347" t="str">
        <f t="shared" si="26"/>
        <v/>
      </c>
      <c r="I867" s="274" t="str">
        <f t="shared" si="27"/>
        <v/>
      </c>
      <c r="J867" s="335"/>
      <c r="K867" s="273"/>
      <c r="L867" s="348"/>
    </row>
    <row r="868" spans="2:12">
      <c r="B868" s="345"/>
      <c r="C868" s="346"/>
      <c r="D868" s="273"/>
      <c r="E868" s="273"/>
      <c r="F868" s="273"/>
      <c r="G868" s="273"/>
      <c r="H868" s="347" t="str">
        <f t="shared" si="26"/>
        <v/>
      </c>
      <c r="I868" s="274" t="str">
        <f t="shared" si="27"/>
        <v/>
      </c>
      <c r="J868" s="335"/>
      <c r="K868" s="273"/>
      <c r="L868" s="348"/>
    </row>
    <row r="869" spans="2:12">
      <c r="B869" s="345"/>
      <c r="C869" s="346"/>
      <c r="D869" s="273"/>
      <c r="E869" s="273"/>
      <c r="F869" s="273"/>
      <c r="G869" s="273"/>
      <c r="H869" s="347" t="str">
        <f t="shared" si="26"/>
        <v/>
      </c>
      <c r="I869" s="274" t="str">
        <f t="shared" si="27"/>
        <v/>
      </c>
      <c r="J869" s="335"/>
      <c r="K869" s="273"/>
      <c r="L869" s="348"/>
    </row>
    <row r="870" spans="2:12">
      <c r="B870" s="345"/>
      <c r="C870" s="346"/>
      <c r="D870" s="273"/>
      <c r="E870" s="273"/>
      <c r="F870" s="273"/>
      <c r="G870" s="273"/>
      <c r="H870" s="347" t="str">
        <f t="shared" si="26"/>
        <v/>
      </c>
      <c r="I870" s="274" t="str">
        <f t="shared" si="27"/>
        <v/>
      </c>
      <c r="J870" s="335"/>
      <c r="K870" s="273"/>
      <c r="L870" s="348"/>
    </row>
    <row r="871" spans="2:12">
      <c r="B871" s="345"/>
      <c r="C871" s="346"/>
      <c r="D871" s="273"/>
      <c r="E871" s="273"/>
      <c r="F871" s="273"/>
      <c r="G871" s="273"/>
      <c r="H871" s="347" t="str">
        <f t="shared" si="26"/>
        <v/>
      </c>
      <c r="I871" s="274" t="str">
        <f t="shared" si="27"/>
        <v/>
      </c>
      <c r="J871" s="335"/>
      <c r="K871" s="273"/>
      <c r="L871" s="348"/>
    </row>
    <row r="872" spans="2:12">
      <c r="B872" s="345"/>
      <c r="C872" s="346"/>
      <c r="D872" s="273"/>
      <c r="E872" s="273"/>
      <c r="F872" s="273"/>
      <c r="G872" s="273"/>
      <c r="H872" s="347" t="str">
        <f t="shared" si="26"/>
        <v/>
      </c>
      <c r="I872" s="274" t="str">
        <f t="shared" si="27"/>
        <v/>
      </c>
      <c r="J872" s="335"/>
      <c r="K872" s="273"/>
      <c r="L872" s="348"/>
    </row>
    <row r="873" spans="2:12">
      <c r="B873" s="345"/>
      <c r="C873" s="346"/>
      <c r="D873" s="273"/>
      <c r="E873" s="273"/>
      <c r="F873" s="273"/>
      <c r="G873" s="273"/>
      <c r="H873" s="347" t="str">
        <f t="shared" si="26"/>
        <v/>
      </c>
      <c r="I873" s="274" t="str">
        <f t="shared" si="27"/>
        <v/>
      </c>
      <c r="J873" s="335"/>
      <c r="K873" s="273"/>
      <c r="L873" s="348"/>
    </row>
    <row r="874" spans="2:12">
      <c r="B874" s="345"/>
      <c r="C874" s="346"/>
      <c r="D874" s="273"/>
      <c r="E874" s="273"/>
      <c r="F874" s="273"/>
      <c r="G874" s="273"/>
      <c r="H874" s="347" t="str">
        <f t="shared" si="26"/>
        <v/>
      </c>
      <c r="I874" s="274" t="str">
        <f t="shared" si="27"/>
        <v/>
      </c>
      <c r="J874" s="335"/>
      <c r="K874" s="273"/>
      <c r="L874" s="348"/>
    </row>
    <row r="875" spans="2:12">
      <c r="B875" s="345"/>
      <c r="C875" s="346"/>
      <c r="D875" s="273"/>
      <c r="E875" s="273"/>
      <c r="F875" s="273"/>
      <c r="G875" s="273"/>
      <c r="H875" s="347" t="str">
        <f t="shared" si="26"/>
        <v/>
      </c>
      <c r="I875" s="274" t="str">
        <f t="shared" si="27"/>
        <v/>
      </c>
      <c r="J875" s="335"/>
      <c r="K875" s="273"/>
      <c r="L875" s="348"/>
    </row>
    <row r="876" spans="2:12">
      <c r="B876" s="345"/>
      <c r="C876" s="346"/>
      <c r="D876" s="273"/>
      <c r="E876" s="273"/>
      <c r="F876" s="273"/>
      <c r="G876" s="273"/>
      <c r="H876" s="347" t="str">
        <f t="shared" si="26"/>
        <v/>
      </c>
      <c r="I876" s="274" t="str">
        <f t="shared" si="27"/>
        <v/>
      </c>
      <c r="J876" s="335"/>
      <c r="K876" s="273"/>
      <c r="L876" s="348"/>
    </row>
    <row r="877" spans="2:12">
      <c r="B877" s="345"/>
      <c r="C877" s="346"/>
      <c r="D877" s="273"/>
      <c r="E877" s="273"/>
      <c r="F877" s="273"/>
      <c r="G877" s="273"/>
      <c r="H877" s="347" t="str">
        <f t="shared" si="26"/>
        <v/>
      </c>
      <c r="I877" s="274" t="str">
        <f t="shared" si="27"/>
        <v/>
      </c>
      <c r="J877" s="335"/>
      <c r="K877" s="273"/>
      <c r="L877" s="348"/>
    </row>
    <row r="878" spans="2:12">
      <c r="B878" s="345"/>
      <c r="C878" s="346"/>
      <c r="D878" s="273"/>
      <c r="E878" s="273"/>
      <c r="F878" s="273"/>
      <c r="G878" s="273"/>
      <c r="H878" s="347" t="str">
        <f t="shared" si="26"/>
        <v/>
      </c>
      <c r="I878" s="274" t="str">
        <f t="shared" si="27"/>
        <v/>
      </c>
      <c r="J878" s="335"/>
      <c r="K878" s="273"/>
      <c r="L878" s="348"/>
    </row>
    <row r="879" spans="2:12">
      <c r="B879" s="345"/>
      <c r="C879" s="346"/>
      <c r="D879" s="273"/>
      <c r="E879" s="273"/>
      <c r="F879" s="273"/>
      <c r="G879" s="273"/>
      <c r="H879" s="347" t="str">
        <f t="shared" si="26"/>
        <v/>
      </c>
      <c r="I879" s="274" t="str">
        <f t="shared" si="27"/>
        <v/>
      </c>
      <c r="J879" s="335"/>
      <c r="K879" s="273"/>
      <c r="L879" s="348"/>
    </row>
    <row r="880" spans="2:12">
      <c r="B880" s="345"/>
      <c r="C880" s="346"/>
      <c r="D880" s="273"/>
      <c r="E880" s="273"/>
      <c r="F880" s="273"/>
      <c r="G880" s="273"/>
      <c r="H880" s="347" t="str">
        <f t="shared" si="26"/>
        <v/>
      </c>
      <c r="I880" s="274" t="str">
        <f t="shared" si="27"/>
        <v/>
      </c>
      <c r="J880" s="335"/>
      <c r="K880" s="273"/>
      <c r="L880" s="348"/>
    </row>
    <row r="881" spans="2:12">
      <c r="B881" s="345"/>
      <c r="C881" s="346"/>
      <c r="D881" s="273"/>
      <c r="E881" s="273"/>
      <c r="F881" s="273"/>
      <c r="G881" s="273"/>
      <c r="H881" s="347" t="str">
        <f t="shared" si="26"/>
        <v/>
      </c>
      <c r="I881" s="274" t="str">
        <f t="shared" si="27"/>
        <v/>
      </c>
      <c r="J881" s="335"/>
      <c r="K881" s="273"/>
      <c r="L881" s="348"/>
    </row>
    <row r="882" spans="2:12">
      <c r="B882" s="345"/>
      <c r="C882" s="346"/>
      <c r="D882" s="273"/>
      <c r="E882" s="273"/>
      <c r="F882" s="273"/>
      <c r="G882" s="273"/>
      <c r="H882" s="347" t="str">
        <f t="shared" si="26"/>
        <v/>
      </c>
      <c r="I882" s="274" t="str">
        <f t="shared" si="27"/>
        <v/>
      </c>
      <c r="J882" s="335"/>
      <c r="K882" s="273"/>
      <c r="L882" s="348"/>
    </row>
    <row r="883" spans="2:12">
      <c r="B883" s="345"/>
      <c r="C883" s="346"/>
      <c r="D883" s="273"/>
      <c r="E883" s="273"/>
      <c r="F883" s="273"/>
      <c r="G883" s="273"/>
      <c r="H883" s="347" t="str">
        <f t="shared" si="26"/>
        <v/>
      </c>
      <c r="I883" s="274" t="str">
        <f t="shared" si="27"/>
        <v/>
      </c>
      <c r="J883" s="335"/>
      <c r="K883" s="273"/>
      <c r="L883" s="348"/>
    </row>
    <row r="884" spans="2:12">
      <c r="B884" s="345"/>
      <c r="C884" s="346"/>
      <c r="D884" s="273"/>
      <c r="E884" s="273"/>
      <c r="F884" s="273"/>
      <c r="G884" s="273"/>
      <c r="H884" s="347" t="str">
        <f t="shared" si="26"/>
        <v/>
      </c>
      <c r="I884" s="274" t="str">
        <f t="shared" si="27"/>
        <v/>
      </c>
      <c r="J884" s="335"/>
      <c r="K884" s="273"/>
      <c r="L884" s="348"/>
    </row>
    <row r="885" spans="2:12">
      <c r="B885" s="345"/>
      <c r="C885" s="346"/>
      <c r="D885" s="273"/>
      <c r="E885" s="273"/>
      <c r="F885" s="273"/>
      <c r="G885" s="273"/>
      <c r="H885" s="347" t="str">
        <f t="shared" si="26"/>
        <v/>
      </c>
      <c r="I885" s="274" t="str">
        <f t="shared" si="27"/>
        <v/>
      </c>
      <c r="J885" s="335"/>
      <c r="K885" s="273"/>
      <c r="L885" s="348"/>
    </row>
    <row r="886" spans="2:12">
      <c r="B886" s="345"/>
      <c r="C886" s="346"/>
      <c r="D886" s="273"/>
      <c r="E886" s="273"/>
      <c r="F886" s="273"/>
      <c r="G886" s="273"/>
      <c r="H886" s="347" t="str">
        <f t="shared" si="26"/>
        <v/>
      </c>
      <c r="I886" s="274" t="str">
        <f t="shared" si="27"/>
        <v/>
      </c>
      <c r="J886" s="335"/>
      <c r="K886" s="273"/>
      <c r="L886" s="348"/>
    </row>
    <row r="887" spans="2:12">
      <c r="B887" s="345"/>
      <c r="C887" s="346"/>
      <c r="D887" s="273"/>
      <c r="E887" s="273"/>
      <c r="F887" s="273"/>
      <c r="G887" s="273"/>
      <c r="H887" s="347" t="str">
        <f t="shared" si="26"/>
        <v/>
      </c>
      <c r="I887" s="274" t="str">
        <f t="shared" si="27"/>
        <v/>
      </c>
      <c r="J887" s="335"/>
      <c r="K887" s="273"/>
      <c r="L887" s="348"/>
    </row>
    <row r="888" spans="2:12">
      <c r="B888" s="345"/>
      <c r="C888" s="346"/>
      <c r="D888" s="273"/>
      <c r="E888" s="273"/>
      <c r="F888" s="273"/>
      <c r="G888" s="273"/>
      <c r="H888" s="347" t="str">
        <f t="shared" si="26"/>
        <v/>
      </c>
      <c r="I888" s="274" t="str">
        <f t="shared" si="27"/>
        <v/>
      </c>
      <c r="J888" s="335"/>
      <c r="K888" s="273"/>
      <c r="L888" s="348"/>
    </row>
    <row r="889" spans="2:12">
      <c r="B889" s="345"/>
      <c r="C889" s="346"/>
      <c r="D889" s="273"/>
      <c r="E889" s="273"/>
      <c r="F889" s="273"/>
      <c r="G889" s="273"/>
      <c r="H889" s="347" t="str">
        <f t="shared" si="26"/>
        <v/>
      </c>
      <c r="I889" s="274" t="str">
        <f t="shared" si="27"/>
        <v/>
      </c>
      <c r="J889" s="335"/>
      <c r="K889" s="273"/>
      <c r="L889" s="348"/>
    </row>
    <row r="890" spans="2:12">
      <c r="B890" s="345"/>
      <c r="C890" s="346"/>
      <c r="D890" s="273"/>
      <c r="E890" s="273"/>
      <c r="F890" s="273"/>
      <c r="G890" s="273"/>
      <c r="H890" s="347" t="str">
        <f t="shared" si="26"/>
        <v/>
      </c>
      <c r="I890" s="274" t="str">
        <f t="shared" si="27"/>
        <v/>
      </c>
      <c r="J890" s="335"/>
      <c r="K890" s="273"/>
      <c r="L890" s="348"/>
    </row>
    <row r="891" spans="2:12">
      <c r="B891" s="345"/>
      <c r="C891" s="346"/>
      <c r="D891" s="273"/>
      <c r="E891" s="273"/>
      <c r="F891" s="273"/>
      <c r="G891" s="273"/>
      <c r="H891" s="347" t="str">
        <f t="shared" si="26"/>
        <v/>
      </c>
      <c r="I891" s="274" t="str">
        <f t="shared" si="27"/>
        <v/>
      </c>
      <c r="J891" s="335"/>
      <c r="K891" s="273"/>
      <c r="L891" s="348"/>
    </row>
    <row r="892" spans="2:12">
      <c r="B892" s="345"/>
      <c r="C892" s="346"/>
      <c r="D892" s="273"/>
      <c r="E892" s="273"/>
      <c r="F892" s="273"/>
      <c r="G892" s="273"/>
      <c r="H892" s="347" t="str">
        <f t="shared" si="26"/>
        <v/>
      </c>
      <c r="I892" s="274" t="str">
        <f t="shared" si="27"/>
        <v/>
      </c>
      <c r="J892" s="335"/>
      <c r="K892" s="273"/>
      <c r="L892" s="348"/>
    </row>
    <row r="893" spans="2:12">
      <c r="B893" s="345"/>
      <c r="C893" s="346"/>
      <c r="D893" s="273"/>
      <c r="E893" s="273"/>
      <c r="F893" s="273"/>
      <c r="G893" s="273"/>
      <c r="H893" s="347" t="str">
        <f t="shared" si="26"/>
        <v/>
      </c>
      <c r="I893" s="274" t="str">
        <f t="shared" si="27"/>
        <v/>
      </c>
      <c r="J893" s="335"/>
      <c r="K893" s="273"/>
      <c r="L893" s="348"/>
    </row>
    <row r="894" spans="2:12">
      <c r="B894" s="345"/>
      <c r="C894" s="346"/>
      <c r="D894" s="273"/>
      <c r="E894" s="273"/>
      <c r="F894" s="273"/>
      <c r="G894" s="273"/>
      <c r="H894" s="347" t="str">
        <f t="shared" si="26"/>
        <v/>
      </c>
      <c r="I894" s="274" t="str">
        <f t="shared" si="27"/>
        <v/>
      </c>
      <c r="J894" s="335"/>
      <c r="K894" s="273"/>
      <c r="L894" s="348"/>
    </row>
    <row r="895" spans="2:12">
      <c r="B895" s="345"/>
      <c r="C895" s="346"/>
      <c r="D895" s="273"/>
      <c r="E895" s="273"/>
      <c r="F895" s="273"/>
      <c r="G895" s="273"/>
      <c r="H895" s="347" t="str">
        <f t="shared" si="26"/>
        <v/>
      </c>
      <c r="I895" s="274" t="str">
        <f t="shared" si="27"/>
        <v/>
      </c>
      <c r="J895" s="335"/>
      <c r="K895" s="273"/>
      <c r="L895" s="348"/>
    </row>
    <row r="896" spans="2:12">
      <c r="B896" s="345"/>
      <c r="C896" s="346"/>
      <c r="D896" s="273"/>
      <c r="E896" s="273"/>
      <c r="F896" s="273"/>
      <c r="G896" s="273"/>
      <c r="H896" s="347" t="str">
        <f t="shared" si="26"/>
        <v/>
      </c>
      <c r="I896" s="274" t="str">
        <f t="shared" si="27"/>
        <v/>
      </c>
      <c r="J896" s="335"/>
      <c r="K896" s="273"/>
      <c r="L896" s="348"/>
    </row>
    <row r="897" spans="2:12">
      <c r="B897" s="345"/>
      <c r="C897" s="346"/>
      <c r="D897" s="273"/>
      <c r="E897" s="273"/>
      <c r="F897" s="273"/>
      <c r="G897" s="273"/>
      <c r="H897" s="347" t="str">
        <f t="shared" si="26"/>
        <v/>
      </c>
      <c r="I897" s="274" t="str">
        <f t="shared" si="27"/>
        <v/>
      </c>
      <c r="J897" s="335"/>
      <c r="K897" s="273"/>
      <c r="L897" s="348"/>
    </row>
    <row r="898" spans="2:12">
      <c r="B898" s="345"/>
      <c r="C898" s="346"/>
      <c r="D898" s="273"/>
      <c r="E898" s="273"/>
      <c r="F898" s="273"/>
      <c r="G898" s="273"/>
      <c r="H898" s="347" t="str">
        <f t="shared" si="26"/>
        <v/>
      </c>
      <c r="I898" s="274" t="str">
        <f t="shared" si="27"/>
        <v/>
      </c>
      <c r="J898" s="335"/>
      <c r="K898" s="273"/>
      <c r="L898" s="348"/>
    </row>
    <row r="899" spans="2:12">
      <c r="B899" s="345"/>
      <c r="C899" s="346"/>
      <c r="D899" s="273"/>
      <c r="E899" s="273"/>
      <c r="F899" s="273"/>
      <c r="G899" s="273"/>
      <c r="H899" s="347" t="str">
        <f t="shared" si="26"/>
        <v/>
      </c>
      <c r="I899" s="274" t="str">
        <f t="shared" si="27"/>
        <v/>
      </c>
      <c r="J899" s="335"/>
      <c r="K899" s="273"/>
      <c r="L899" s="348"/>
    </row>
    <row r="900" spans="2:12">
      <c r="B900" s="345"/>
      <c r="C900" s="346"/>
      <c r="D900" s="273"/>
      <c r="E900" s="273"/>
      <c r="F900" s="273"/>
      <c r="G900" s="273"/>
      <c r="H900" s="347" t="str">
        <f t="shared" si="26"/>
        <v/>
      </c>
      <c r="I900" s="274" t="str">
        <f t="shared" si="27"/>
        <v/>
      </c>
      <c r="J900" s="335"/>
      <c r="K900" s="273"/>
      <c r="L900" s="348"/>
    </row>
    <row r="901" spans="2:12">
      <c r="B901" s="345"/>
      <c r="C901" s="346"/>
      <c r="D901" s="273"/>
      <c r="E901" s="273"/>
      <c r="F901" s="273"/>
      <c r="G901" s="273"/>
      <c r="H901" s="347" t="str">
        <f t="shared" si="26"/>
        <v/>
      </c>
      <c r="I901" s="274" t="str">
        <f t="shared" si="27"/>
        <v/>
      </c>
      <c r="J901" s="335"/>
      <c r="K901" s="273"/>
      <c r="L901" s="348"/>
    </row>
    <row r="902" spans="2:12">
      <c r="B902" s="345"/>
      <c r="C902" s="346"/>
      <c r="D902" s="273"/>
      <c r="E902" s="273"/>
      <c r="F902" s="273"/>
      <c r="G902" s="273"/>
      <c r="H902" s="347" t="str">
        <f t="shared" si="26"/>
        <v/>
      </c>
      <c r="I902" s="274" t="str">
        <f t="shared" si="27"/>
        <v/>
      </c>
      <c r="J902" s="335"/>
      <c r="K902" s="273"/>
      <c r="L902" s="348"/>
    </row>
    <row r="903" spans="2:12">
      <c r="B903" s="345"/>
      <c r="C903" s="346"/>
      <c r="D903" s="273"/>
      <c r="E903" s="273"/>
      <c r="F903" s="273"/>
      <c r="G903" s="273"/>
      <c r="H903" s="347" t="str">
        <f t="shared" si="26"/>
        <v/>
      </c>
      <c r="I903" s="274" t="str">
        <f t="shared" si="27"/>
        <v/>
      </c>
      <c r="J903" s="335"/>
      <c r="K903" s="273"/>
      <c r="L903" s="348"/>
    </row>
    <row r="904" spans="2:12">
      <c r="B904" s="345"/>
      <c r="C904" s="346"/>
      <c r="D904" s="273"/>
      <c r="E904" s="273"/>
      <c r="F904" s="273"/>
      <c r="G904" s="273"/>
      <c r="H904" s="347" t="str">
        <f t="shared" si="26"/>
        <v/>
      </c>
      <c r="I904" s="274" t="str">
        <f t="shared" si="27"/>
        <v/>
      </c>
      <c r="J904" s="335"/>
      <c r="K904" s="273"/>
      <c r="L904" s="348"/>
    </row>
    <row r="905" spans="2:12">
      <c r="B905" s="345"/>
      <c r="C905" s="346"/>
      <c r="D905" s="273"/>
      <c r="E905" s="273"/>
      <c r="F905" s="273"/>
      <c r="G905" s="273"/>
      <c r="H905" s="347" t="str">
        <f t="shared" si="26"/>
        <v/>
      </c>
      <c r="I905" s="274" t="str">
        <f t="shared" si="27"/>
        <v/>
      </c>
      <c r="J905" s="335"/>
      <c r="K905" s="273"/>
      <c r="L905" s="348"/>
    </row>
    <row r="906" spans="2:12">
      <c r="B906" s="345"/>
      <c r="C906" s="346"/>
      <c r="D906" s="273"/>
      <c r="E906" s="273"/>
      <c r="F906" s="273"/>
      <c r="G906" s="273"/>
      <c r="H906" s="347" t="str">
        <f t="shared" si="26"/>
        <v/>
      </c>
      <c r="I906" s="274" t="str">
        <f t="shared" si="27"/>
        <v/>
      </c>
      <c r="J906" s="335"/>
      <c r="K906" s="273"/>
      <c r="L906" s="348"/>
    </row>
    <row r="907" spans="2:12">
      <c r="B907" s="345"/>
      <c r="C907" s="346"/>
      <c r="D907" s="273"/>
      <c r="E907" s="273"/>
      <c r="F907" s="273"/>
      <c r="G907" s="273"/>
      <c r="H907" s="347" t="str">
        <f t="shared" ref="H907:H970" si="28">IF(G907="Large","NRS",IF(G907="International","FRS",IF(G907="SME - Medium","SME",IF(G907="SME - Micro","SME",IF(G907="SME - Small","SME","")))))</f>
        <v/>
      </c>
      <c r="I907" s="274" t="str">
        <f t="shared" ref="I907:I970" si="29">IF(H907="FRS","No","")</f>
        <v/>
      </c>
      <c r="J907" s="335"/>
      <c r="K907" s="273"/>
      <c r="L907" s="348"/>
    </row>
    <row r="908" spans="2:12">
      <c r="B908" s="345"/>
      <c r="C908" s="346"/>
      <c r="D908" s="273"/>
      <c r="E908" s="273"/>
      <c r="F908" s="273"/>
      <c r="G908" s="273"/>
      <c r="H908" s="347" t="str">
        <f t="shared" si="28"/>
        <v/>
      </c>
      <c r="I908" s="274" t="str">
        <f t="shared" si="29"/>
        <v/>
      </c>
      <c r="J908" s="335"/>
      <c r="K908" s="273"/>
      <c r="L908" s="348"/>
    </row>
    <row r="909" spans="2:12">
      <c r="B909" s="345"/>
      <c r="C909" s="346"/>
      <c r="D909" s="273"/>
      <c r="E909" s="273"/>
      <c r="F909" s="273"/>
      <c r="G909" s="273"/>
      <c r="H909" s="347" t="str">
        <f t="shared" si="28"/>
        <v/>
      </c>
      <c r="I909" s="274" t="str">
        <f t="shared" si="29"/>
        <v/>
      </c>
      <c r="J909" s="335"/>
      <c r="K909" s="273"/>
      <c r="L909" s="348"/>
    </row>
    <row r="910" spans="2:12">
      <c r="B910" s="345"/>
      <c r="C910" s="346"/>
      <c r="D910" s="273"/>
      <c r="E910" s="273"/>
      <c r="F910" s="273"/>
      <c r="G910" s="273"/>
      <c r="H910" s="347" t="str">
        <f t="shared" si="28"/>
        <v/>
      </c>
      <c r="I910" s="274" t="str">
        <f t="shared" si="29"/>
        <v/>
      </c>
      <c r="J910" s="335"/>
      <c r="K910" s="273"/>
      <c r="L910" s="348"/>
    </row>
    <row r="911" spans="2:12">
      <c r="B911" s="345"/>
      <c r="C911" s="346"/>
      <c r="D911" s="273"/>
      <c r="E911" s="273"/>
      <c r="F911" s="273"/>
      <c r="G911" s="273"/>
      <c r="H911" s="347" t="str">
        <f t="shared" si="28"/>
        <v/>
      </c>
      <c r="I911" s="274" t="str">
        <f t="shared" si="29"/>
        <v/>
      </c>
      <c r="J911" s="335"/>
      <c r="K911" s="273"/>
      <c r="L911" s="348"/>
    </row>
    <row r="912" spans="2:12">
      <c r="B912" s="345"/>
      <c r="C912" s="346"/>
      <c r="D912" s="273"/>
      <c r="E912" s="273"/>
      <c r="F912" s="273"/>
      <c r="G912" s="273"/>
      <c r="H912" s="347" t="str">
        <f t="shared" si="28"/>
        <v/>
      </c>
      <c r="I912" s="274" t="str">
        <f t="shared" si="29"/>
        <v/>
      </c>
      <c r="J912" s="335"/>
      <c r="K912" s="273"/>
      <c r="L912" s="348"/>
    </row>
    <row r="913" spans="2:12">
      <c r="B913" s="345"/>
      <c r="C913" s="346"/>
      <c r="D913" s="273"/>
      <c r="E913" s="273"/>
      <c r="F913" s="273"/>
      <c r="G913" s="273"/>
      <c r="H913" s="347" t="str">
        <f t="shared" si="28"/>
        <v/>
      </c>
      <c r="I913" s="274" t="str">
        <f t="shared" si="29"/>
        <v/>
      </c>
      <c r="J913" s="335"/>
      <c r="K913" s="273"/>
      <c r="L913" s="348"/>
    </row>
    <row r="914" spans="2:12">
      <c r="B914" s="345"/>
      <c r="C914" s="346"/>
      <c r="D914" s="273"/>
      <c r="E914" s="273"/>
      <c r="F914" s="273"/>
      <c r="G914" s="273"/>
      <c r="H914" s="347" t="str">
        <f t="shared" si="28"/>
        <v/>
      </c>
      <c r="I914" s="274" t="str">
        <f t="shared" si="29"/>
        <v/>
      </c>
      <c r="J914" s="335"/>
      <c r="K914" s="273"/>
      <c r="L914" s="348"/>
    </row>
    <row r="915" spans="2:12">
      <c r="B915" s="345"/>
      <c r="C915" s="346"/>
      <c r="D915" s="273"/>
      <c r="E915" s="273"/>
      <c r="F915" s="273"/>
      <c r="G915" s="273"/>
      <c r="H915" s="347" t="str">
        <f t="shared" si="28"/>
        <v/>
      </c>
      <c r="I915" s="274" t="str">
        <f t="shared" si="29"/>
        <v/>
      </c>
      <c r="J915" s="335"/>
      <c r="K915" s="273"/>
      <c r="L915" s="348"/>
    </row>
    <row r="916" spans="2:12">
      <c r="B916" s="345"/>
      <c r="C916" s="346"/>
      <c r="D916" s="273"/>
      <c r="E916" s="273"/>
      <c r="F916" s="273"/>
      <c r="G916" s="273"/>
      <c r="H916" s="347" t="str">
        <f t="shared" si="28"/>
        <v/>
      </c>
      <c r="I916" s="274" t="str">
        <f t="shared" si="29"/>
        <v/>
      </c>
      <c r="J916" s="335"/>
      <c r="K916" s="273"/>
      <c r="L916" s="348"/>
    </row>
    <row r="917" spans="2:12">
      <c r="B917" s="345"/>
      <c r="C917" s="346"/>
      <c r="D917" s="273"/>
      <c r="E917" s="273"/>
      <c r="F917" s="273"/>
      <c r="G917" s="273"/>
      <c r="H917" s="347" t="str">
        <f t="shared" si="28"/>
        <v/>
      </c>
      <c r="I917" s="274" t="str">
        <f t="shared" si="29"/>
        <v/>
      </c>
      <c r="J917" s="335"/>
      <c r="K917" s="273"/>
      <c r="L917" s="348"/>
    </row>
    <row r="918" spans="2:12">
      <c r="B918" s="345"/>
      <c r="C918" s="346"/>
      <c r="D918" s="273"/>
      <c r="E918" s="273"/>
      <c r="F918" s="273"/>
      <c r="G918" s="273"/>
      <c r="H918" s="347" t="str">
        <f t="shared" si="28"/>
        <v/>
      </c>
      <c r="I918" s="274" t="str">
        <f t="shared" si="29"/>
        <v/>
      </c>
      <c r="J918" s="335"/>
      <c r="K918" s="273"/>
      <c r="L918" s="348"/>
    </row>
    <row r="919" spans="2:12">
      <c r="B919" s="345"/>
      <c r="C919" s="346"/>
      <c r="D919" s="273"/>
      <c r="E919" s="273"/>
      <c r="F919" s="273"/>
      <c r="G919" s="273"/>
      <c r="H919" s="347" t="str">
        <f t="shared" si="28"/>
        <v/>
      </c>
      <c r="I919" s="274" t="str">
        <f t="shared" si="29"/>
        <v/>
      </c>
      <c r="J919" s="335"/>
      <c r="K919" s="273"/>
      <c r="L919" s="348"/>
    </row>
    <row r="920" spans="2:12">
      <c r="B920" s="345"/>
      <c r="C920" s="346"/>
      <c r="D920" s="273"/>
      <c r="E920" s="273"/>
      <c r="F920" s="273"/>
      <c r="G920" s="273"/>
      <c r="H920" s="347" t="str">
        <f t="shared" si="28"/>
        <v/>
      </c>
      <c r="I920" s="274" t="str">
        <f t="shared" si="29"/>
        <v/>
      </c>
      <c r="J920" s="335"/>
      <c r="K920" s="273"/>
      <c r="L920" s="348"/>
    </row>
    <row r="921" spans="2:12">
      <c r="B921" s="345"/>
      <c r="C921" s="346"/>
      <c r="D921" s="273"/>
      <c r="E921" s="273"/>
      <c r="F921" s="273"/>
      <c r="G921" s="273"/>
      <c r="H921" s="347" t="str">
        <f t="shared" si="28"/>
        <v/>
      </c>
      <c r="I921" s="274" t="str">
        <f t="shared" si="29"/>
        <v/>
      </c>
      <c r="J921" s="335"/>
      <c r="K921" s="273"/>
      <c r="L921" s="348"/>
    </row>
    <row r="922" spans="2:12">
      <c r="B922" s="345"/>
      <c r="C922" s="346"/>
      <c r="D922" s="273"/>
      <c r="E922" s="273"/>
      <c r="F922" s="273"/>
      <c r="G922" s="273"/>
      <c r="H922" s="347" t="str">
        <f t="shared" si="28"/>
        <v/>
      </c>
      <c r="I922" s="274" t="str">
        <f t="shared" si="29"/>
        <v/>
      </c>
      <c r="J922" s="335"/>
      <c r="K922" s="273"/>
      <c r="L922" s="348"/>
    </row>
    <row r="923" spans="2:12">
      <c r="B923" s="345"/>
      <c r="C923" s="346"/>
      <c r="D923" s="273"/>
      <c r="E923" s="273"/>
      <c r="F923" s="273"/>
      <c r="G923" s="273"/>
      <c r="H923" s="347" t="str">
        <f t="shared" si="28"/>
        <v/>
      </c>
      <c r="I923" s="274" t="str">
        <f t="shared" si="29"/>
        <v/>
      </c>
      <c r="J923" s="335"/>
      <c r="K923" s="273"/>
      <c r="L923" s="348"/>
    </row>
    <row r="924" spans="2:12">
      <c r="B924" s="345"/>
      <c r="C924" s="346"/>
      <c r="D924" s="273"/>
      <c r="E924" s="273"/>
      <c r="F924" s="273"/>
      <c r="G924" s="273"/>
      <c r="H924" s="347" t="str">
        <f t="shared" si="28"/>
        <v/>
      </c>
      <c r="I924" s="274" t="str">
        <f t="shared" si="29"/>
        <v/>
      </c>
      <c r="J924" s="335"/>
      <c r="K924" s="273"/>
      <c r="L924" s="348"/>
    </row>
    <row r="925" spans="2:12">
      <c r="B925" s="345"/>
      <c r="C925" s="346"/>
      <c r="D925" s="273"/>
      <c r="E925" s="273"/>
      <c r="F925" s="273"/>
      <c r="G925" s="273"/>
      <c r="H925" s="347" t="str">
        <f t="shared" si="28"/>
        <v/>
      </c>
      <c r="I925" s="274" t="str">
        <f t="shared" si="29"/>
        <v/>
      </c>
      <c r="J925" s="335"/>
      <c r="K925" s="273"/>
      <c r="L925" s="348"/>
    </row>
    <row r="926" spans="2:12">
      <c r="B926" s="345"/>
      <c r="C926" s="346"/>
      <c r="D926" s="273"/>
      <c r="E926" s="273"/>
      <c r="F926" s="273"/>
      <c r="G926" s="273"/>
      <c r="H926" s="347" t="str">
        <f t="shared" si="28"/>
        <v/>
      </c>
      <c r="I926" s="274" t="str">
        <f t="shared" si="29"/>
        <v/>
      </c>
      <c r="J926" s="335"/>
      <c r="K926" s="273"/>
      <c r="L926" s="348"/>
    </row>
    <row r="927" spans="2:12">
      <c r="B927" s="345"/>
      <c r="C927" s="346"/>
      <c r="D927" s="273"/>
      <c r="E927" s="273"/>
      <c r="F927" s="273"/>
      <c r="G927" s="273"/>
      <c r="H927" s="347" t="str">
        <f t="shared" si="28"/>
        <v/>
      </c>
      <c r="I927" s="274" t="str">
        <f t="shared" si="29"/>
        <v/>
      </c>
      <c r="J927" s="335"/>
      <c r="K927" s="273"/>
      <c r="L927" s="348"/>
    </row>
    <row r="928" spans="2:12">
      <c r="B928" s="345"/>
      <c r="C928" s="346"/>
      <c r="D928" s="273"/>
      <c r="E928" s="273"/>
      <c r="F928" s="273"/>
      <c r="G928" s="273"/>
      <c r="H928" s="347" t="str">
        <f t="shared" si="28"/>
        <v/>
      </c>
      <c r="I928" s="274" t="str">
        <f t="shared" si="29"/>
        <v/>
      </c>
      <c r="J928" s="335"/>
      <c r="K928" s="273"/>
      <c r="L928" s="348"/>
    </row>
    <row r="929" spans="2:12">
      <c r="B929" s="345"/>
      <c r="C929" s="346"/>
      <c r="D929" s="273"/>
      <c r="E929" s="273"/>
      <c r="F929" s="273"/>
      <c r="G929" s="273"/>
      <c r="H929" s="347" t="str">
        <f t="shared" si="28"/>
        <v/>
      </c>
      <c r="I929" s="274" t="str">
        <f t="shared" si="29"/>
        <v/>
      </c>
      <c r="J929" s="335"/>
      <c r="K929" s="273"/>
      <c r="L929" s="348"/>
    </row>
    <row r="930" spans="2:12">
      <c r="B930" s="345"/>
      <c r="C930" s="346"/>
      <c r="D930" s="273"/>
      <c r="E930" s="273"/>
      <c r="F930" s="273"/>
      <c r="G930" s="273"/>
      <c r="H930" s="347" t="str">
        <f t="shared" si="28"/>
        <v/>
      </c>
      <c r="I930" s="274" t="str">
        <f t="shared" si="29"/>
        <v/>
      </c>
      <c r="J930" s="335"/>
      <c r="K930" s="273"/>
      <c r="L930" s="348"/>
    </row>
    <row r="931" spans="2:12">
      <c r="B931" s="345"/>
      <c r="C931" s="346"/>
      <c r="D931" s="273"/>
      <c r="E931" s="273"/>
      <c r="F931" s="273"/>
      <c r="G931" s="273"/>
      <c r="H931" s="347" t="str">
        <f t="shared" si="28"/>
        <v/>
      </c>
      <c r="I931" s="274" t="str">
        <f t="shared" si="29"/>
        <v/>
      </c>
      <c r="J931" s="335"/>
      <c r="K931" s="273"/>
      <c r="L931" s="348"/>
    </row>
    <row r="932" spans="2:12">
      <c r="B932" s="345"/>
      <c r="C932" s="346"/>
      <c r="D932" s="273"/>
      <c r="E932" s="273"/>
      <c r="F932" s="273"/>
      <c r="G932" s="273"/>
      <c r="H932" s="347" t="str">
        <f t="shared" si="28"/>
        <v/>
      </c>
      <c r="I932" s="274" t="str">
        <f t="shared" si="29"/>
        <v/>
      </c>
      <c r="J932" s="335"/>
      <c r="K932" s="273"/>
      <c r="L932" s="348"/>
    </row>
    <row r="933" spans="2:12">
      <c r="B933" s="345"/>
      <c r="C933" s="346"/>
      <c r="D933" s="273"/>
      <c r="E933" s="273"/>
      <c r="F933" s="273"/>
      <c r="G933" s="273"/>
      <c r="H933" s="347" t="str">
        <f t="shared" si="28"/>
        <v/>
      </c>
      <c r="I933" s="274" t="str">
        <f t="shared" si="29"/>
        <v/>
      </c>
      <c r="J933" s="335"/>
      <c r="K933" s="273"/>
      <c r="L933" s="348"/>
    </row>
    <row r="934" spans="2:12">
      <c r="B934" s="345"/>
      <c r="C934" s="346"/>
      <c r="D934" s="273"/>
      <c r="E934" s="273"/>
      <c r="F934" s="273"/>
      <c r="G934" s="273"/>
      <c r="H934" s="347" t="str">
        <f t="shared" si="28"/>
        <v/>
      </c>
      <c r="I934" s="274" t="str">
        <f t="shared" si="29"/>
        <v/>
      </c>
      <c r="J934" s="335"/>
      <c r="K934" s="273"/>
      <c r="L934" s="348"/>
    </row>
    <row r="935" spans="2:12">
      <c r="B935" s="345"/>
      <c r="C935" s="346"/>
      <c r="D935" s="273"/>
      <c r="E935" s="273"/>
      <c r="F935" s="273"/>
      <c r="G935" s="273"/>
      <c r="H935" s="347" t="str">
        <f t="shared" si="28"/>
        <v/>
      </c>
      <c r="I935" s="274" t="str">
        <f t="shared" si="29"/>
        <v/>
      </c>
      <c r="J935" s="335"/>
      <c r="K935" s="273"/>
      <c r="L935" s="348"/>
    </row>
    <row r="936" spans="2:12">
      <c r="B936" s="345"/>
      <c r="C936" s="346"/>
      <c r="D936" s="273"/>
      <c r="E936" s="273"/>
      <c r="F936" s="273"/>
      <c r="G936" s="273"/>
      <c r="H936" s="347" t="str">
        <f t="shared" si="28"/>
        <v/>
      </c>
      <c r="I936" s="274" t="str">
        <f t="shared" si="29"/>
        <v/>
      </c>
      <c r="J936" s="335"/>
      <c r="K936" s="273"/>
      <c r="L936" s="348"/>
    </row>
    <row r="937" spans="2:12">
      <c r="B937" s="345"/>
      <c r="C937" s="346"/>
      <c r="D937" s="273"/>
      <c r="E937" s="273"/>
      <c r="F937" s="273"/>
      <c r="G937" s="273"/>
      <c r="H937" s="347" t="str">
        <f t="shared" si="28"/>
        <v/>
      </c>
      <c r="I937" s="274" t="str">
        <f t="shared" si="29"/>
        <v/>
      </c>
      <c r="J937" s="335"/>
      <c r="K937" s="273"/>
      <c r="L937" s="348"/>
    </row>
    <row r="938" spans="2:12">
      <c r="B938" s="345"/>
      <c r="C938" s="346"/>
      <c r="D938" s="273"/>
      <c r="E938" s="273"/>
      <c r="F938" s="273"/>
      <c r="G938" s="273"/>
      <c r="H938" s="347" t="str">
        <f t="shared" si="28"/>
        <v/>
      </c>
      <c r="I938" s="274" t="str">
        <f t="shared" si="29"/>
        <v/>
      </c>
      <c r="J938" s="335"/>
      <c r="K938" s="273"/>
      <c r="L938" s="348"/>
    </row>
    <row r="939" spans="2:12">
      <c r="B939" s="345"/>
      <c r="C939" s="346"/>
      <c r="D939" s="273"/>
      <c r="E939" s="273"/>
      <c r="F939" s="273"/>
      <c r="G939" s="273"/>
      <c r="H939" s="347" t="str">
        <f t="shared" si="28"/>
        <v/>
      </c>
      <c r="I939" s="274" t="str">
        <f t="shared" si="29"/>
        <v/>
      </c>
      <c r="J939" s="335"/>
      <c r="K939" s="273"/>
      <c r="L939" s="348"/>
    </row>
    <row r="940" spans="2:12">
      <c r="B940" s="345"/>
      <c r="C940" s="346"/>
      <c r="D940" s="273"/>
      <c r="E940" s="273"/>
      <c r="F940" s="273"/>
      <c r="G940" s="273"/>
      <c r="H940" s="347" t="str">
        <f t="shared" si="28"/>
        <v/>
      </c>
      <c r="I940" s="274" t="str">
        <f t="shared" si="29"/>
        <v/>
      </c>
      <c r="J940" s="335"/>
      <c r="K940" s="273"/>
      <c r="L940" s="348"/>
    </row>
    <row r="941" spans="2:12">
      <c r="B941" s="345"/>
      <c r="C941" s="346"/>
      <c r="D941" s="273"/>
      <c r="E941" s="273"/>
      <c r="F941" s="273"/>
      <c r="G941" s="273"/>
      <c r="H941" s="347" t="str">
        <f t="shared" si="28"/>
        <v/>
      </c>
      <c r="I941" s="274" t="str">
        <f t="shared" si="29"/>
        <v/>
      </c>
      <c r="J941" s="335"/>
      <c r="K941" s="273"/>
      <c r="L941" s="348"/>
    </row>
    <row r="942" spans="2:12">
      <c r="B942" s="345"/>
      <c r="C942" s="346"/>
      <c r="D942" s="273"/>
      <c r="E942" s="273"/>
      <c r="F942" s="273"/>
      <c r="G942" s="273"/>
      <c r="H942" s="347" t="str">
        <f t="shared" si="28"/>
        <v/>
      </c>
      <c r="I942" s="274" t="str">
        <f t="shared" si="29"/>
        <v/>
      </c>
      <c r="J942" s="335"/>
      <c r="K942" s="273"/>
      <c r="L942" s="348"/>
    </row>
    <row r="943" spans="2:12">
      <c r="B943" s="345"/>
      <c r="C943" s="346"/>
      <c r="D943" s="273"/>
      <c r="E943" s="273"/>
      <c r="F943" s="273"/>
      <c r="G943" s="273"/>
      <c r="H943" s="347" t="str">
        <f t="shared" si="28"/>
        <v/>
      </c>
      <c r="I943" s="274" t="str">
        <f t="shared" si="29"/>
        <v/>
      </c>
      <c r="J943" s="335"/>
      <c r="K943" s="273"/>
      <c r="L943" s="348"/>
    </row>
    <row r="944" spans="2:12">
      <c r="B944" s="345"/>
      <c r="C944" s="346"/>
      <c r="D944" s="273"/>
      <c r="E944" s="273"/>
      <c r="F944" s="273"/>
      <c r="G944" s="273"/>
      <c r="H944" s="347" t="str">
        <f t="shared" si="28"/>
        <v/>
      </c>
      <c r="I944" s="274" t="str">
        <f t="shared" si="29"/>
        <v/>
      </c>
      <c r="J944" s="335"/>
      <c r="K944" s="273"/>
      <c r="L944" s="348"/>
    </row>
    <row r="945" spans="2:12">
      <c r="B945" s="345"/>
      <c r="C945" s="346"/>
      <c r="D945" s="273"/>
      <c r="E945" s="273"/>
      <c r="F945" s="273"/>
      <c r="G945" s="273"/>
      <c r="H945" s="347" t="str">
        <f t="shared" si="28"/>
        <v/>
      </c>
      <c r="I945" s="274" t="str">
        <f t="shared" si="29"/>
        <v/>
      </c>
      <c r="J945" s="335"/>
      <c r="K945" s="273"/>
      <c r="L945" s="348"/>
    </row>
    <row r="946" spans="2:12">
      <c r="B946" s="345"/>
      <c r="C946" s="346"/>
      <c r="D946" s="273"/>
      <c r="E946" s="273"/>
      <c r="F946" s="273"/>
      <c r="G946" s="273"/>
      <c r="H946" s="347" t="str">
        <f t="shared" si="28"/>
        <v/>
      </c>
      <c r="I946" s="274" t="str">
        <f t="shared" si="29"/>
        <v/>
      </c>
      <c r="J946" s="335"/>
      <c r="K946" s="273"/>
      <c r="L946" s="348"/>
    </row>
    <row r="947" spans="2:12">
      <c r="B947" s="345"/>
      <c r="C947" s="346"/>
      <c r="D947" s="273"/>
      <c r="E947" s="273"/>
      <c r="F947" s="273"/>
      <c r="G947" s="273"/>
      <c r="H947" s="347" t="str">
        <f t="shared" si="28"/>
        <v/>
      </c>
      <c r="I947" s="274" t="str">
        <f t="shared" si="29"/>
        <v/>
      </c>
      <c r="J947" s="335"/>
      <c r="K947" s="273"/>
      <c r="L947" s="348"/>
    </row>
    <row r="948" spans="2:12">
      <c r="B948" s="345"/>
      <c r="C948" s="346"/>
      <c r="D948" s="273"/>
      <c r="E948" s="273"/>
      <c r="F948" s="273"/>
      <c r="G948" s="273"/>
      <c r="H948" s="347" t="str">
        <f t="shared" si="28"/>
        <v/>
      </c>
      <c r="I948" s="274" t="str">
        <f t="shared" si="29"/>
        <v/>
      </c>
      <c r="J948" s="335"/>
      <c r="K948" s="273"/>
      <c r="L948" s="348"/>
    </row>
    <row r="949" spans="2:12">
      <c r="B949" s="345"/>
      <c r="C949" s="346"/>
      <c r="D949" s="273"/>
      <c r="E949" s="273"/>
      <c r="F949" s="273"/>
      <c r="G949" s="273"/>
      <c r="H949" s="347" t="str">
        <f t="shared" si="28"/>
        <v/>
      </c>
      <c r="I949" s="274" t="str">
        <f t="shared" si="29"/>
        <v/>
      </c>
      <c r="J949" s="335"/>
      <c r="K949" s="273"/>
      <c r="L949" s="348"/>
    </row>
    <row r="950" spans="2:12">
      <c r="B950" s="345"/>
      <c r="C950" s="346"/>
      <c r="D950" s="273"/>
      <c r="E950" s="273"/>
      <c r="F950" s="273"/>
      <c r="G950" s="273"/>
      <c r="H950" s="347" t="str">
        <f t="shared" si="28"/>
        <v/>
      </c>
      <c r="I950" s="274" t="str">
        <f t="shared" si="29"/>
        <v/>
      </c>
      <c r="J950" s="335"/>
      <c r="K950" s="273"/>
      <c r="L950" s="348"/>
    </row>
    <row r="951" spans="2:12">
      <c r="B951" s="345"/>
      <c r="C951" s="346"/>
      <c r="D951" s="273"/>
      <c r="E951" s="273"/>
      <c r="F951" s="273"/>
      <c r="G951" s="273"/>
      <c r="H951" s="347" t="str">
        <f t="shared" si="28"/>
        <v/>
      </c>
      <c r="I951" s="274" t="str">
        <f t="shared" si="29"/>
        <v/>
      </c>
      <c r="J951" s="335"/>
      <c r="K951" s="273"/>
      <c r="L951" s="348"/>
    </row>
    <row r="952" spans="2:12">
      <c r="B952" s="345"/>
      <c r="C952" s="346"/>
      <c r="D952" s="273"/>
      <c r="E952" s="273"/>
      <c r="F952" s="273"/>
      <c r="G952" s="273"/>
      <c r="H952" s="347" t="str">
        <f t="shared" si="28"/>
        <v/>
      </c>
      <c r="I952" s="274" t="str">
        <f t="shared" si="29"/>
        <v/>
      </c>
      <c r="J952" s="335"/>
      <c r="K952" s="273"/>
      <c r="L952" s="348"/>
    </row>
    <row r="953" spans="2:12">
      <c r="B953" s="345"/>
      <c r="C953" s="346"/>
      <c r="D953" s="273"/>
      <c r="E953" s="273"/>
      <c r="F953" s="273"/>
      <c r="G953" s="273"/>
      <c r="H953" s="347" t="str">
        <f t="shared" si="28"/>
        <v/>
      </c>
      <c r="I953" s="274" t="str">
        <f t="shared" si="29"/>
        <v/>
      </c>
      <c r="J953" s="335"/>
      <c r="K953" s="273"/>
      <c r="L953" s="348"/>
    </row>
    <row r="954" spans="2:12">
      <c r="B954" s="345"/>
      <c r="C954" s="346"/>
      <c r="D954" s="273"/>
      <c r="E954" s="273"/>
      <c r="F954" s="273"/>
      <c r="G954" s="273"/>
      <c r="H954" s="347" t="str">
        <f t="shared" si="28"/>
        <v/>
      </c>
      <c r="I954" s="274" t="str">
        <f t="shared" si="29"/>
        <v/>
      </c>
      <c r="J954" s="335"/>
      <c r="K954" s="273"/>
      <c r="L954" s="348"/>
    </row>
    <row r="955" spans="2:12">
      <c r="B955" s="345"/>
      <c r="C955" s="346"/>
      <c r="D955" s="273"/>
      <c r="E955" s="273"/>
      <c r="F955" s="273"/>
      <c r="G955" s="273"/>
      <c r="H955" s="347" t="str">
        <f t="shared" si="28"/>
        <v/>
      </c>
      <c r="I955" s="274" t="str">
        <f t="shared" si="29"/>
        <v/>
      </c>
      <c r="J955" s="335"/>
      <c r="K955" s="273"/>
      <c r="L955" s="348"/>
    </row>
    <row r="956" spans="2:12">
      <c r="B956" s="345"/>
      <c r="C956" s="346"/>
      <c r="D956" s="273"/>
      <c r="E956" s="273"/>
      <c r="F956" s="273"/>
      <c r="G956" s="273"/>
      <c r="H956" s="347" t="str">
        <f t="shared" si="28"/>
        <v/>
      </c>
      <c r="I956" s="274" t="str">
        <f t="shared" si="29"/>
        <v/>
      </c>
      <c r="J956" s="335"/>
      <c r="K956" s="273"/>
      <c r="L956" s="348"/>
    </row>
    <row r="957" spans="2:12">
      <c r="B957" s="345"/>
      <c r="C957" s="346"/>
      <c r="D957" s="273"/>
      <c r="E957" s="273"/>
      <c r="F957" s="273"/>
      <c r="G957" s="273"/>
      <c r="H957" s="347" t="str">
        <f t="shared" si="28"/>
        <v/>
      </c>
      <c r="I957" s="274" t="str">
        <f t="shared" si="29"/>
        <v/>
      </c>
      <c r="J957" s="335"/>
      <c r="K957" s="273"/>
      <c r="L957" s="348"/>
    </row>
    <row r="958" spans="2:12">
      <c r="B958" s="345"/>
      <c r="C958" s="346"/>
      <c r="D958" s="273"/>
      <c r="E958" s="273"/>
      <c r="F958" s="273"/>
      <c r="G958" s="273"/>
      <c r="H958" s="347" t="str">
        <f t="shared" si="28"/>
        <v/>
      </c>
      <c r="I958" s="274" t="str">
        <f t="shared" si="29"/>
        <v/>
      </c>
      <c r="J958" s="335"/>
      <c r="K958" s="273"/>
      <c r="L958" s="348"/>
    </row>
    <row r="959" spans="2:12">
      <c r="B959" s="345"/>
      <c r="C959" s="346"/>
      <c r="D959" s="273"/>
      <c r="E959" s="273"/>
      <c r="F959" s="273"/>
      <c r="G959" s="273"/>
      <c r="H959" s="347" t="str">
        <f t="shared" si="28"/>
        <v/>
      </c>
      <c r="I959" s="274" t="str">
        <f t="shared" si="29"/>
        <v/>
      </c>
      <c r="J959" s="335"/>
      <c r="K959" s="273"/>
      <c r="L959" s="348"/>
    </row>
    <row r="960" spans="2:12">
      <c r="B960" s="345"/>
      <c r="C960" s="346"/>
      <c r="D960" s="273"/>
      <c r="E960" s="273"/>
      <c r="F960" s="273"/>
      <c r="G960" s="273"/>
      <c r="H960" s="347" t="str">
        <f t="shared" si="28"/>
        <v/>
      </c>
      <c r="I960" s="274" t="str">
        <f t="shared" si="29"/>
        <v/>
      </c>
      <c r="J960" s="335"/>
      <c r="K960" s="273"/>
      <c r="L960" s="348"/>
    </row>
    <row r="961" spans="2:12">
      <c r="B961" s="345"/>
      <c r="C961" s="346"/>
      <c r="D961" s="273"/>
      <c r="E961" s="273"/>
      <c r="F961" s="273"/>
      <c r="G961" s="273"/>
      <c r="H961" s="347" t="str">
        <f t="shared" si="28"/>
        <v/>
      </c>
      <c r="I961" s="274" t="str">
        <f t="shared" si="29"/>
        <v/>
      </c>
      <c r="J961" s="335"/>
      <c r="K961" s="273"/>
      <c r="L961" s="348"/>
    </row>
    <row r="962" spans="2:12">
      <c r="B962" s="345"/>
      <c r="C962" s="346"/>
      <c r="D962" s="273"/>
      <c r="E962" s="273"/>
      <c r="F962" s="273"/>
      <c r="G962" s="273"/>
      <c r="H962" s="347" t="str">
        <f t="shared" si="28"/>
        <v/>
      </c>
      <c r="I962" s="274" t="str">
        <f t="shared" si="29"/>
        <v/>
      </c>
      <c r="J962" s="335"/>
      <c r="K962" s="273"/>
      <c r="L962" s="348"/>
    </row>
    <row r="963" spans="2:12">
      <c r="B963" s="345"/>
      <c r="C963" s="346"/>
      <c r="D963" s="273"/>
      <c r="E963" s="273"/>
      <c r="F963" s="273"/>
      <c r="G963" s="273"/>
      <c r="H963" s="347" t="str">
        <f t="shared" si="28"/>
        <v/>
      </c>
      <c r="I963" s="274" t="str">
        <f t="shared" si="29"/>
        <v/>
      </c>
      <c r="J963" s="335"/>
      <c r="K963" s="273"/>
      <c r="L963" s="348"/>
    </row>
    <row r="964" spans="2:12">
      <c r="B964" s="345"/>
      <c r="C964" s="346"/>
      <c r="D964" s="273"/>
      <c r="E964" s="273"/>
      <c r="F964" s="273"/>
      <c r="G964" s="273"/>
      <c r="H964" s="347" t="str">
        <f t="shared" si="28"/>
        <v/>
      </c>
      <c r="I964" s="274" t="str">
        <f t="shared" si="29"/>
        <v/>
      </c>
      <c r="J964" s="335"/>
      <c r="K964" s="273"/>
      <c r="L964" s="348"/>
    </row>
    <row r="965" spans="2:12">
      <c r="B965" s="345"/>
      <c r="C965" s="346"/>
      <c r="D965" s="273"/>
      <c r="E965" s="273"/>
      <c r="F965" s="273"/>
      <c r="G965" s="273"/>
      <c r="H965" s="347" t="str">
        <f t="shared" si="28"/>
        <v/>
      </c>
      <c r="I965" s="274" t="str">
        <f t="shared" si="29"/>
        <v/>
      </c>
      <c r="J965" s="335"/>
      <c r="K965" s="273"/>
      <c r="L965" s="348"/>
    </row>
    <row r="966" spans="2:12">
      <c r="B966" s="345"/>
      <c r="C966" s="346"/>
      <c r="D966" s="273"/>
      <c r="E966" s="273"/>
      <c r="F966" s="273"/>
      <c r="G966" s="273"/>
      <c r="H966" s="347" t="str">
        <f t="shared" si="28"/>
        <v/>
      </c>
      <c r="I966" s="274" t="str">
        <f t="shared" si="29"/>
        <v/>
      </c>
      <c r="J966" s="335"/>
      <c r="K966" s="273"/>
      <c r="L966" s="348"/>
    </row>
    <row r="967" spans="2:12">
      <c r="B967" s="345"/>
      <c r="C967" s="346"/>
      <c r="D967" s="273"/>
      <c r="E967" s="273"/>
      <c r="F967" s="273"/>
      <c r="G967" s="273"/>
      <c r="H967" s="347" t="str">
        <f t="shared" si="28"/>
        <v/>
      </c>
      <c r="I967" s="274" t="str">
        <f t="shared" si="29"/>
        <v/>
      </c>
      <c r="J967" s="335"/>
      <c r="K967" s="273"/>
      <c r="L967" s="348"/>
    </row>
    <row r="968" spans="2:12">
      <c r="B968" s="345"/>
      <c r="C968" s="346"/>
      <c r="D968" s="273"/>
      <c r="E968" s="273"/>
      <c r="F968" s="273"/>
      <c r="G968" s="273"/>
      <c r="H968" s="347" t="str">
        <f t="shared" si="28"/>
        <v/>
      </c>
      <c r="I968" s="274" t="str">
        <f t="shared" si="29"/>
        <v/>
      </c>
      <c r="J968" s="335"/>
      <c r="K968" s="273"/>
      <c r="L968" s="348"/>
    </row>
    <row r="969" spans="2:12">
      <c r="B969" s="345"/>
      <c r="C969" s="346"/>
      <c r="D969" s="273"/>
      <c r="E969" s="273"/>
      <c r="F969" s="273"/>
      <c r="G969" s="273"/>
      <c r="H969" s="347" t="str">
        <f t="shared" si="28"/>
        <v/>
      </c>
      <c r="I969" s="274" t="str">
        <f t="shared" si="29"/>
        <v/>
      </c>
      <c r="J969" s="335"/>
      <c r="K969" s="273"/>
      <c r="L969" s="348"/>
    </row>
    <row r="970" spans="2:12">
      <c r="B970" s="345"/>
      <c r="C970" s="346"/>
      <c r="D970" s="273"/>
      <c r="E970" s="273"/>
      <c r="F970" s="273"/>
      <c r="G970" s="273"/>
      <c r="H970" s="347" t="str">
        <f t="shared" si="28"/>
        <v/>
      </c>
      <c r="I970" s="274" t="str">
        <f t="shared" si="29"/>
        <v/>
      </c>
      <c r="J970" s="335"/>
      <c r="K970" s="273"/>
      <c r="L970" s="348"/>
    </row>
    <row r="971" spans="2:12">
      <c r="B971" s="345"/>
      <c r="C971" s="346"/>
      <c r="D971" s="273"/>
      <c r="E971" s="273"/>
      <c r="F971" s="273"/>
      <c r="G971" s="273"/>
      <c r="H971" s="347" t="str">
        <f t="shared" ref="H971:H1034" si="30">IF(G971="Large","NRS",IF(G971="International","FRS",IF(G971="SME - Medium","SME",IF(G971="SME - Micro","SME",IF(G971="SME - Small","SME","")))))</f>
        <v/>
      </c>
      <c r="I971" s="274" t="str">
        <f t="shared" ref="I971:I1034" si="31">IF(H971="FRS","No","")</f>
        <v/>
      </c>
      <c r="J971" s="335"/>
      <c r="K971" s="273"/>
      <c r="L971" s="348"/>
    </row>
    <row r="972" spans="2:12">
      <c r="B972" s="345"/>
      <c r="C972" s="346"/>
      <c r="D972" s="273"/>
      <c r="E972" s="273"/>
      <c r="F972" s="273"/>
      <c r="G972" s="273"/>
      <c r="H972" s="347" t="str">
        <f t="shared" si="30"/>
        <v/>
      </c>
      <c r="I972" s="274" t="str">
        <f t="shared" si="31"/>
        <v/>
      </c>
      <c r="J972" s="335"/>
      <c r="K972" s="273"/>
      <c r="L972" s="348"/>
    </row>
    <row r="973" spans="2:12">
      <c r="B973" s="345"/>
      <c r="C973" s="346"/>
      <c r="D973" s="273"/>
      <c r="E973" s="273"/>
      <c r="F973" s="273"/>
      <c r="G973" s="273"/>
      <c r="H973" s="347" t="str">
        <f t="shared" si="30"/>
        <v/>
      </c>
      <c r="I973" s="274" t="str">
        <f t="shared" si="31"/>
        <v/>
      </c>
      <c r="J973" s="335"/>
      <c r="K973" s="273"/>
      <c r="L973" s="348"/>
    </row>
    <row r="974" spans="2:12">
      <c r="B974" s="345"/>
      <c r="C974" s="346"/>
      <c r="D974" s="273"/>
      <c r="E974" s="273"/>
      <c r="F974" s="273"/>
      <c r="G974" s="273"/>
      <c r="H974" s="347" t="str">
        <f t="shared" si="30"/>
        <v/>
      </c>
      <c r="I974" s="274" t="str">
        <f t="shared" si="31"/>
        <v/>
      </c>
      <c r="J974" s="335"/>
      <c r="K974" s="273"/>
      <c r="L974" s="348"/>
    </row>
    <row r="975" spans="2:12">
      <c r="B975" s="345"/>
      <c r="C975" s="346"/>
      <c r="D975" s="273"/>
      <c r="E975" s="273"/>
      <c r="F975" s="273"/>
      <c r="G975" s="273"/>
      <c r="H975" s="347" t="str">
        <f t="shared" si="30"/>
        <v/>
      </c>
      <c r="I975" s="274" t="str">
        <f t="shared" si="31"/>
        <v/>
      </c>
      <c r="J975" s="335"/>
      <c r="K975" s="273"/>
      <c r="L975" s="348"/>
    </row>
    <row r="976" spans="2:12">
      <c r="B976" s="345"/>
      <c r="C976" s="346"/>
      <c r="D976" s="273"/>
      <c r="E976" s="273"/>
      <c r="F976" s="273"/>
      <c r="G976" s="273"/>
      <c r="H976" s="347" t="str">
        <f t="shared" si="30"/>
        <v/>
      </c>
      <c r="I976" s="274" t="str">
        <f t="shared" si="31"/>
        <v/>
      </c>
      <c r="J976" s="335"/>
      <c r="K976" s="273"/>
      <c r="L976" s="348"/>
    </row>
    <row r="977" spans="2:12">
      <c r="B977" s="345"/>
      <c r="C977" s="346"/>
      <c r="D977" s="273"/>
      <c r="E977" s="273"/>
      <c r="F977" s="273"/>
      <c r="G977" s="273"/>
      <c r="H977" s="347" t="str">
        <f t="shared" si="30"/>
        <v/>
      </c>
      <c r="I977" s="274" t="str">
        <f t="shared" si="31"/>
        <v/>
      </c>
      <c r="J977" s="335"/>
      <c r="K977" s="273"/>
      <c r="L977" s="348"/>
    </row>
    <row r="978" spans="2:12">
      <c r="B978" s="345"/>
      <c r="C978" s="346"/>
      <c r="D978" s="273"/>
      <c r="E978" s="273"/>
      <c r="F978" s="273"/>
      <c r="G978" s="273"/>
      <c r="H978" s="347" t="str">
        <f t="shared" si="30"/>
        <v/>
      </c>
      <c r="I978" s="274" t="str">
        <f t="shared" si="31"/>
        <v/>
      </c>
      <c r="J978" s="335"/>
      <c r="K978" s="273"/>
      <c r="L978" s="348"/>
    </row>
    <row r="979" spans="2:12">
      <c r="B979" s="345"/>
      <c r="C979" s="346"/>
      <c r="D979" s="273"/>
      <c r="E979" s="273"/>
      <c r="F979" s="273"/>
      <c r="G979" s="273"/>
      <c r="H979" s="347" t="str">
        <f t="shared" si="30"/>
        <v/>
      </c>
      <c r="I979" s="274" t="str">
        <f t="shared" si="31"/>
        <v/>
      </c>
      <c r="J979" s="335"/>
      <c r="K979" s="273"/>
      <c r="L979" s="348"/>
    </row>
    <row r="980" spans="2:12">
      <c r="B980" s="345"/>
      <c r="C980" s="346"/>
      <c r="D980" s="273"/>
      <c r="E980" s="273"/>
      <c r="F980" s="273"/>
      <c r="G980" s="273"/>
      <c r="H980" s="347" t="str">
        <f t="shared" si="30"/>
        <v/>
      </c>
      <c r="I980" s="274" t="str">
        <f t="shared" si="31"/>
        <v/>
      </c>
      <c r="J980" s="335"/>
      <c r="K980" s="273"/>
      <c r="L980" s="348"/>
    </row>
    <row r="981" spans="2:12">
      <c r="B981" s="345"/>
      <c r="C981" s="346"/>
      <c r="D981" s="273"/>
      <c r="E981" s="273"/>
      <c r="F981" s="273"/>
      <c r="G981" s="273"/>
      <c r="H981" s="347" t="str">
        <f t="shared" si="30"/>
        <v/>
      </c>
      <c r="I981" s="274" t="str">
        <f t="shared" si="31"/>
        <v/>
      </c>
      <c r="J981" s="335"/>
      <c r="K981" s="273"/>
      <c r="L981" s="348"/>
    </row>
    <row r="982" spans="2:12">
      <c r="B982" s="345"/>
      <c r="C982" s="346"/>
      <c r="D982" s="273"/>
      <c r="E982" s="273"/>
      <c r="F982" s="273"/>
      <c r="G982" s="273"/>
      <c r="H982" s="347" t="str">
        <f t="shared" si="30"/>
        <v/>
      </c>
      <c r="I982" s="274" t="str">
        <f t="shared" si="31"/>
        <v/>
      </c>
      <c r="J982" s="335"/>
      <c r="K982" s="273"/>
      <c r="L982" s="348"/>
    </row>
    <row r="983" spans="2:12">
      <c r="B983" s="345"/>
      <c r="C983" s="346"/>
      <c r="D983" s="273"/>
      <c r="E983" s="273"/>
      <c r="F983" s="273"/>
      <c r="G983" s="273"/>
      <c r="H983" s="347" t="str">
        <f t="shared" si="30"/>
        <v/>
      </c>
      <c r="I983" s="274" t="str">
        <f t="shared" si="31"/>
        <v/>
      </c>
      <c r="J983" s="335"/>
      <c r="K983" s="273"/>
      <c r="L983" s="348"/>
    </row>
    <row r="984" spans="2:12">
      <c r="B984" s="345"/>
      <c r="C984" s="346"/>
      <c r="D984" s="273"/>
      <c r="E984" s="273"/>
      <c r="F984" s="273"/>
      <c r="G984" s="273"/>
      <c r="H984" s="347" t="str">
        <f t="shared" si="30"/>
        <v/>
      </c>
      <c r="I984" s="274" t="str">
        <f t="shared" si="31"/>
        <v/>
      </c>
      <c r="J984" s="335"/>
      <c r="K984" s="273"/>
      <c r="L984" s="348"/>
    </row>
    <row r="985" spans="2:12">
      <c r="B985" s="345"/>
      <c r="C985" s="346"/>
      <c r="D985" s="273"/>
      <c r="E985" s="273"/>
      <c r="F985" s="273"/>
      <c r="G985" s="273"/>
      <c r="H985" s="347" t="str">
        <f t="shared" si="30"/>
        <v/>
      </c>
      <c r="I985" s="274" t="str">
        <f t="shared" si="31"/>
        <v/>
      </c>
      <c r="J985" s="335"/>
      <c r="K985" s="273"/>
      <c r="L985" s="348"/>
    </row>
    <row r="986" spans="2:12">
      <c r="B986" s="345"/>
      <c r="C986" s="346"/>
      <c r="D986" s="273"/>
      <c r="E986" s="273"/>
      <c r="F986" s="273"/>
      <c r="G986" s="273"/>
      <c r="H986" s="347" t="str">
        <f t="shared" si="30"/>
        <v/>
      </c>
      <c r="I986" s="274" t="str">
        <f t="shared" si="31"/>
        <v/>
      </c>
      <c r="J986" s="335"/>
      <c r="K986" s="273"/>
      <c r="L986" s="348"/>
    </row>
    <row r="987" spans="2:12">
      <c r="B987" s="345"/>
      <c r="C987" s="346"/>
      <c r="D987" s="273"/>
      <c r="E987" s="273"/>
      <c r="F987" s="273"/>
      <c r="G987" s="273"/>
      <c r="H987" s="347" t="str">
        <f t="shared" si="30"/>
        <v/>
      </c>
      <c r="I987" s="274" t="str">
        <f t="shared" si="31"/>
        <v/>
      </c>
      <c r="J987" s="335"/>
      <c r="K987" s="273"/>
      <c r="L987" s="348"/>
    </row>
    <row r="988" spans="2:12">
      <c r="B988" s="345"/>
      <c r="C988" s="346"/>
      <c r="D988" s="273"/>
      <c r="E988" s="273"/>
      <c r="F988" s="273"/>
      <c r="G988" s="273"/>
      <c r="H988" s="347" t="str">
        <f t="shared" si="30"/>
        <v/>
      </c>
      <c r="I988" s="274" t="str">
        <f t="shared" si="31"/>
        <v/>
      </c>
      <c r="J988" s="335"/>
      <c r="K988" s="273"/>
      <c r="L988" s="348"/>
    </row>
    <row r="989" spans="2:12">
      <c r="B989" s="345"/>
      <c r="C989" s="346"/>
      <c r="D989" s="273"/>
      <c r="E989" s="273"/>
      <c r="F989" s="273"/>
      <c r="G989" s="273"/>
      <c r="H989" s="347" t="str">
        <f t="shared" si="30"/>
        <v/>
      </c>
      <c r="I989" s="274" t="str">
        <f t="shared" si="31"/>
        <v/>
      </c>
      <c r="J989" s="335"/>
      <c r="K989" s="273"/>
      <c r="L989" s="348"/>
    </row>
    <row r="990" spans="2:12">
      <c r="B990" s="345"/>
      <c r="C990" s="346"/>
      <c r="D990" s="273"/>
      <c r="E990" s="273"/>
      <c r="F990" s="273"/>
      <c r="G990" s="273"/>
      <c r="H990" s="347" t="str">
        <f t="shared" si="30"/>
        <v/>
      </c>
      <c r="I990" s="274" t="str">
        <f t="shared" si="31"/>
        <v/>
      </c>
      <c r="J990" s="335"/>
      <c r="K990" s="273"/>
      <c r="L990" s="348"/>
    </row>
    <row r="991" spans="2:12">
      <c r="B991" s="345"/>
      <c r="C991" s="346"/>
      <c r="D991" s="273"/>
      <c r="E991" s="273"/>
      <c r="F991" s="273"/>
      <c r="G991" s="273"/>
      <c r="H991" s="347" t="str">
        <f t="shared" si="30"/>
        <v/>
      </c>
      <c r="I991" s="274" t="str">
        <f t="shared" si="31"/>
        <v/>
      </c>
      <c r="J991" s="335"/>
      <c r="K991" s="273"/>
      <c r="L991" s="348"/>
    </row>
    <row r="992" spans="2:12">
      <c r="B992" s="345"/>
      <c r="C992" s="346"/>
      <c r="D992" s="273"/>
      <c r="E992" s="273"/>
      <c r="F992" s="273"/>
      <c r="G992" s="273"/>
      <c r="H992" s="347" t="str">
        <f t="shared" si="30"/>
        <v/>
      </c>
      <c r="I992" s="274" t="str">
        <f t="shared" si="31"/>
        <v/>
      </c>
      <c r="J992" s="335"/>
      <c r="K992" s="273"/>
      <c r="L992" s="348"/>
    </row>
    <row r="993" spans="2:12">
      <c r="B993" s="345"/>
      <c r="C993" s="346"/>
      <c r="D993" s="273"/>
      <c r="E993" s="273"/>
      <c r="F993" s="273"/>
      <c r="G993" s="273"/>
      <c r="H993" s="347" t="str">
        <f t="shared" si="30"/>
        <v/>
      </c>
      <c r="I993" s="274" t="str">
        <f t="shared" si="31"/>
        <v/>
      </c>
      <c r="J993" s="335"/>
      <c r="K993" s="273"/>
      <c r="L993" s="348"/>
    </row>
    <row r="994" spans="2:12">
      <c r="B994" s="345"/>
      <c r="C994" s="346"/>
      <c r="D994" s="273"/>
      <c r="E994" s="273"/>
      <c r="F994" s="273"/>
      <c r="G994" s="273"/>
      <c r="H994" s="347" t="str">
        <f t="shared" si="30"/>
        <v/>
      </c>
      <c r="I994" s="274" t="str">
        <f t="shared" si="31"/>
        <v/>
      </c>
      <c r="J994" s="335"/>
      <c r="K994" s="273"/>
      <c r="L994" s="348"/>
    </row>
    <row r="995" spans="2:12">
      <c r="B995" s="345"/>
      <c r="C995" s="346"/>
      <c r="D995" s="273"/>
      <c r="E995" s="273"/>
      <c r="F995" s="273"/>
      <c r="G995" s="273"/>
      <c r="H995" s="347" t="str">
        <f t="shared" si="30"/>
        <v/>
      </c>
      <c r="I995" s="274" t="str">
        <f t="shared" si="31"/>
        <v/>
      </c>
      <c r="J995" s="335"/>
      <c r="K995" s="273"/>
      <c r="L995" s="348"/>
    </row>
    <row r="996" spans="2:12">
      <c r="B996" s="345"/>
      <c r="C996" s="346"/>
      <c r="D996" s="273"/>
      <c r="E996" s="273"/>
      <c r="F996" s="273"/>
      <c r="G996" s="273"/>
      <c r="H996" s="347" t="str">
        <f t="shared" si="30"/>
        <v/>
      </c>
      <c r="I996" s="274" t="str">
        <f t="shared" si="31"/>
        <v/>
      </c>
      <c r="J996" s="335"/>
      <c r="K996" s="273"/>
      <c r="L996" s="348"/>
    </row>
    <row r="997" spans="2:12">
      <c r="B997" s="345"/>
      <c r="C997" s="346"/>
      <c r="D997" s="273"/>
      <c r="E997" s="273"/>
      <c r="F997" s="273"/>
      <c r="G997" s="273"/>
      <c r="H997" s="347" t="str">
        <f t="shared" si="30"/>
        <v/>
      </c>
      <c r="I997" s="274" t="str">
        <f t="shared" si="31"/>
        <v/>
      </c>
      <c r="J997" s="335"/>
      <c r="K997" s="273"/>
      <c r="L997" s="348"/>
    </row>
    <row r="998" spans="2:12">
      <c r="B998" s="345"/>
      <c r="C998" s="346"/>
      <c r="D998" s="273"/>
      <c r="E998" s="273"/>
      <c r="F998" s="273"/>
      <c r="G998" s="273"/>
      <c r="H998" s="347" t="str">
        <f t="shared" si="30"/>
        <v/>
      </c>
      <c r="I998" s="274" t="str">
        <f t="shared" si="31"/>
        <v/>
      </c>
      <c r="J998" s="335"/>
      <c r="K998" s="273"/>
      <c r="L998" s="348"/>
    </row>
    <row r="999" spans="2:12">
      <c r="B999" s="345"/>
      <c r="C999" s="346"/>
      <c r="D999" s="273"/>
      <c r="E999" s="273"/>
      <c r="F999" s="273"/>
      <c r="G999" s="273"/>
      <c r="H999" s="347" t="str">
        <f t="shared" si="30"/>
        <v/>
      </c>
      <c r="I999" s="274" t="str">
        <f t="shared" si="31"/>
        <v/>
      </c>
      <c r="J999" s="335"/>
      <c r="K999" s="273"/>
      <c r="L999" s="348"/>
    </row>
    <row r="1000" spans="2:12">
      <c r="B1000" s="345"/>
      <c r="C1000" s="346"/>
      <c r="D1000" s="273"/>
      <c r="E1000" s="273"/>
      <c r="F1000" s="273"/>
      <c r="G1000" s="273"/>
      <c r="H1000" s="347" t="str">
        <f t="shared" si="30"/>
        <v/>
      </c>
      <c r="I1000" s="274" t="str">
        <f t="shared" si="31"/>
        <v/>
      </c>
      <c r="J1000" s="335"/>
      <c r="K1000" s="273"/>
      <c r="L1000" s="348"/>
    </row>
    <row r="1001" spans="2:12">
      <c r="B1001" s="345"/>
      <c r="C1001" s="346"/>
      <c r="D1001" s="273"/>
      <c r="E1001" s="273"/>
      <c r="F1001" s="273"/>
      <c r="G1001" s="273"/>
      <c r="H1001" s="347" t="str">
        <f t="shared" si="30"/>
        <v/>
      </c>
      <c r="I1001" s="274" t="str">
        <f t="shared" si="31"/>
        <v/>
      </c>
      <c r="J1001" s="335"/>
      <c r="K1001" s="273"/>
      <c r="L1001" s="348"/>
    </row>
    <row r="1002" spans="2:12">
      <c r="B1002" s="345"/>
      <c r="C1002" s="346"/>
      <c r="D1002" s="273"/>
      <c r="E1002" s="273"/>
      <c r="F1002" s="273"/>
      <c r="G1002" s="273"/>
      <c r="H1002" s="347" t="str">
        <f t="shared" si="30"/>
        <v/>
      </c>
      <c r="I1002" s="274" t="str">
        <f t="shared" si="31"/>
        <v/>
      </c>
      <c r="J1002" s="335"/>
      <c r="K1002" s="273"/>
      <c r="L1002" s="348"/>
    </row>
    <row r="1003" spans="2:12">
      <c r="B1003" s="345"/>
      <c r="C1003" s="346"/>
      <c r="D1003" s="273"/>
      <c r="E1003" s="273"/>
      <c r="F1003" s="273"/>
      <c r="G1003" s="273"/>
      <c r="H1003" s="347" t="str">
        <f t="shared" si="30"/>
        <v/>
      </c>
      <c r="I1003" s="274" t="str">
        <f t="shared" si="31"/>
        <v/>
      </c>
      <c r="J1003" s="335"/>
      <c r="K1003" s="273"/>
      <c r="L1003" s="348"/>
    </row>
    <row r="1004" spans="2:12">
      <c r="B1004" s="345"/>
      <c r="C1004" s="346"/>
      <c r="D1004" s="273"/>
      <c r="E1004" s="273"/>
      <c r="F1004" s="273"/>
      <c r="G1004" s="273"/>
      <c r="H1004" s="347" t="str">
        <f t="shared" si="30"/>
        <v/>
      </c>
      <c r="I1004" s="274" t="str">
        <f t="shared" si="31"/>
        <v/>
      </c>
      <c r="J1004" s="335"/>
      <c r="K1004" s="273"/>
      <c r="L1004" s="348"/>
    </row>
    <row r="1005" spans="2:12">
      <c r="B1005" s="345"/>
      <c r="C1005" s="346"/>
      <c r="D1005" s="273"/>
      <c r="E1005" s="273"/>
      <c r="F1005" s="273"/>
      <c r="G1005" s="273"/>
      <c r="H1005" s="347" t="str">
        <f t="shared" si="30"/>
        <v/>
      </c>
      <c r="I1005" s="274" t="str">
        <f t="shared" si="31"/>
        <v/>
      </c>
      <c r="J1005" s="335"/>
      <c r="K1005" s="273"/>
      <c r="L1005" s="348"/>
    </row>
    <row r="1006" spans="2:12">
      <c r="B1006" s="345"/>
      <c r="C1006" s="346"/>
      <c r="D1006" s="273"/>
      <c r="E1006" s="273"/>
      <c r="F1006" s="273"/>
      <c r="G1006" s="273"/>
      <c r="H1006" s="347" t="str">
        <f t="shared" si="30"/>
        <v/>
      </c>
      <c r="I1006" s="274" t="str">
        <f t="shared" si="31"/>
        <v/>
      </c>
      <c r="J1006" s="335"/>
      <c r="K1006" s="273"/>
      <c r="L1006" s="348"/>
    </row>
    <row r="1007" spans="2:12">
      <c r="B1007" s="345"/>
      <c r="C1007" s="346"/>
      <c r="D1007" s="273"/>
      <c r="E1007" s="273"/>
      <c r="F1007" s="273"/>
      <c r="G1007" s="273"/>
      <c r="H1007" s="347" t="str">
        <f t="shared" si="30"/>
        <v/>
      </c>
      <c r="I1007" s="274" t="str">
        <f t="shared" si="31"/>
        <v/>
      </c>
      <c r="J1007" s="335"/>
      <c r="K1007" s="273"/>
      <c r="L1007" s="348"/>
    </row>
    <row r="1008" spans="2:12">
      <c r="B1008" s="345"/>
      <c r="C1008" s="346"/>
      <c r="D1008" s="273"/>
      <c r="E1008" s="273"/>
      <c r="F1008" s="273"/>
      <c r="G1008" s="273"/>
      <c r="H1008" s="347" t="str">
        <f t="shared" si="30"/>
        <v/>
      </c>
      <c r="I1008" s="274" t="str">
        <f t="shared" si="31"/>
        <v/>
      </c>
      <c r="J1008" s="335"/>
      <c r="K1008" s="273"/>
      <c r="L1008" s="348"/>
    </row>
    <row r="1009" spans="2:12">
      <c r="B1009" s="345"/>
      <c r="C1009" s="346"/>
      <c r="D1009" s="273"/>
      <c r="E1009" s="273"/>
      <c r="F1009" s="273"/>
      <c r="G1009" s="273"/>
      <c r="H1009" s="347" t="str">
        <f t="shared" si="30"/>
        <v/>
      </c>
      <c r="I1009" s="274" t="str">
        <f t="shared" si="31"/>
        <v/>
      </c>
      <c r="J1009" s="335"/>
      <c r="K1009" s="273"/>
      <c r="L1009" s="348"/>
    </row>
    <row r="1010" spans="2:12">
      <c r="B1010" s="345"/>
      <c r="C1010" s="346"/>
      <c r="D1010" s="273"/>
      <c r="E1010" s="273"/>
      <c r="F1010" s="273"/>
      <c r="G1010" s="273"/>
      <c r="H1010" s="347" t="str">
        <f t="shared" si="30"/>
        <v/>
      </c>
      <c r="I1010" s="274" t="str">
        <f t="shared" si="31"/>
        <v/>
      </c>
      <c r="J1010" s="335"/>
      <c r="K1010" s="273"/>
      <c r="L1010" s="348"/>
    </row>
    <row r="1011" spans="2:12">
      <c r="B1011" s="345"/>
      <c r="C1011" s="346"/>
      <c r="D1011" s="273"/>
      <c r="E1011" s="273"/>
      <c r="F1011" s="273"/>
      <c r="G1011" s="273"/>
      <c r="H1011" s="347" t="str">
        <f t="shared" si="30"/>
        <v/>
      </c>
      <c r="I1011" s="274" t="str">
        <f t="shared" si="31"/>
        <v/>
      </c>
      <c r="J1011" s="335"/>
      <c r="K1011" s="273"/>
      <c r="L1011" s="348"/>
    </row>
  </sheetData>
  <sheetProtection password="85CC" sheet="1" insertRows="0"/>
  <mergeCells count="9">
    <mergeCell ref="B6:K6"/>
    <mergeCell ref="B7:K7"/>
    <mergeCell ref="B9:K9"/>
    <mergeCell ref="B1:L1"/>
    <mergeCell ref="B2:L2"/>
    <mergeCell ref="B3:L3"/>
    <mergeCell ref="B4:L4"/>
    <mergeCell ref="B5:L5"/>
    <mergeCell ref="B8:K8"/>
  </mergeCells>
  <phoneticPr fontId="32" type="noConversion"/>
  <dataValidations count="3">
    <dataValidation type="textLength" allowBlank="1" showInputMessage="1" showErrorMessage="1" errorTitle="Max Length" error="You can't enter more than 150 letters." sqref="K1:K7 B8 K9:K1048576" xr:uid="{00000000-0002-0000-0600-000000000000}">
      <formula1>1</formula1>
      <formula2>150</formula2>
    </dataValidation>
    <dataValidation type="list" allowBlank="1" showInputMessage="1" showErrorMessage="1" sqref="E1:E1048576" xr:uid="{00000000-0002-0000-0600-000004000000}">
      <formula1>INDIRECT(SUBSTITUTE(D1," ","_"))</formula1>
    </dataValidation>
    <dataValidation type="decimal" allowBlank="1" showInputMessage="1" showErrorMessage="1" sqref="L11:L1011" xr:uid="{00000000-0002-0000-0600-000007000000}">
      <formula1>0</formula1>
      <formula2>99999999.99</formula2>
    </dataValidation>
  </dataValidations>
  <pageMargins left="0.7" right="0.7" top="0.75" bottom="0.75"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cellIs" priority="1" operator="equal" id="{E85B4EB7-40AF-4312-9CEB-FD0CC0155D2C}">
            <xm:f>Lookup!$I$2</xm:f>
            <x14:dxf>
              <font>
                <color rgb="FF9C5700"/>
              </font>
              <fill>
                <patternFill>
                  <bgColor rgb="FFFFEB9C"/>
                </patternFill>
              </fill>
            </x14:dxf>
          </x14:cfRule>
          <xm:sqref>C12:C1011</xm:sqref>
        </x14:conditionalFormatting>
      </x14:conditionalFormattings>
    </ext>
    <ext xmlns:x14="http://schemas.microsoft.com/office/spreadsheetml/2009/9/main" uri="{CCE6A557-97BC-4b89-ADB6-D9C93CAAB3DF}">
      <x14:dataValidations xmlns:xm="http://schemas.microsoft.com/office/excel/2006/main" count="8">
        <x14:dataValidation type="list" allowBlank="1" showInputMessage="1" showErrorMessage="1" xr:uid="{00000000-0002-0000-0600-000001000000}">
          <x14:formula1>
            <xm:f>'System Values'!$Y$2:$Y$7</xm:f>
          </x14:formula1>
          <xm:sqref>B10:B1011</xm:sqref>
        </x14:dataValidation>
        <x14:dataValidation type="list" allowBlank="1" showInputMessage="1" showErrorMessage="1" xr:uid="{00000000-0002-0000-0600-000002000000}">
          <x14:formula1>
            <xm:f>'System Values'!$X$2:$X$5</xm:f>
          </x14:formula1>
          <xm:sqref>C1:C1048576</xm:sqref>
        </x14:dataValidation>
        <x14:dataValidation type="list" allowBlank="1" showInputMessage="1" showErrorMessage="1" xr:uid="{00000000-0002-0000-0600-000003000000}">
          <x14:formula1>
            <xm:f>'Service Data'!$D$2:$D$14</xm:f>
          </x14:formula1>
          <xm:sqref>D1:D1048576</xm:sqref>
        </x14:dataValidation>
        <x14:dataValidation type="list" allowBlank="1" showInputMessage="1" showErrorMessage="1" xr:uid="{00000000-0002-0000-0600-000005000000}">
          <x14:formula1>
            <xm:f>'System Values'!$AC$2:$AC$6</xm:f>
          </x14:formula1>
          <xm:sqref>G1:G1048576</xm:sqref>
        </x14:dataValidation>
        <x14:dataValidation type="list" allowBlank="1" showInputMessage="1" showErrorMessage="1" xr:uid="{00000000-0002-0000-0600-000006000000}">
          <x14:formula1>
            <xm:f>'System Values'!$AD$2:$AD$4</xm:f>
          </x14:formula1>
          <xm:sqref>H1:H1048576</xm:sqref>
        </x14:dataValidation>
        <x14:dataValidation type="list" allowBlank="1" showInputMessage="1" showErrorMessage="1" xr:uid="{00000000-0002-0000-0600-000008000000}">
          <x14:formula1>
            <xm:f>'System Values'!$AE$2:$AE$3</xm:f>
          </x14:formula1>
          <xm:sqref>I1:I1048576</xm:sqref>
        </x14:dataValidation>
        <x14:dataValidation type="list" allowBlank="1" showInputMessage="1" showErrorMessage="1" xr:uid="{00000000-0002-0000-0600-000002000000}">
          <x14:formula1>
            <xm:f>Lookup!$I$2:$I$3</xm:f>
          </x14:formula1>
          <xm:sqref>C12:C1011</xm:sqref>
        </x14:dataValidation>
        <x14:dataValidation type="list" allowBlank="1" showInputMessage="1" showErrorMessage="1" xr:uid="{00000000-0002-0000-0600-000003000000}">
          <x14:formula1>
            <xm:f>Lookup!$V$2:$AB$2</xm:f>
          </x14:formula1>
          <xm:sqref>E12:E1011</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1:G25"/>
  <sheetViews>
    <sheetView workbookViewId="0">
      <selection activeCell="G6" sqref="G6"/>
    </sheetView>
  </sheetViews>
  <sheetFormatPr defaultColWidth="8.7109375" defaultRowHeight="15"/>
  <cols>
    <col min="1" max="1" width="4.28515625" style="234" customWidth="1"/>
    <col min="2" max="2" width="23.7109375" style="234" customWidth="1"/>
    <col min="3" max="3" width="24.28515625" style="234" customWidth="1"/>
    <col min="4" max="4" width="17.85546875" style="234" customWidth="1"/>
    <col min="5" max="5" width="15.5703125" style="234" customWidth="1"/>
    <col min="6" max="6" width="26.42578125" style="234" customWidth="1"/>
    <col min="7" max="7" width="20.140625" bestFit="1" customWidth="1"/>
    <col min="8" max="8" width="8.7109375" style="234" customWidth="1"/>
    <col min="9" max="16384" width="8.7109375" style="234"/>
  </cols>
  <sheetData>
    <row r="1" spans="2:7" customFormat="1" ht="21.75" customHeight="1" thickBot="1">
      <c r="B1" s="29" t="s">
        <v>214</v>
      </c>
      <c r="C1" s="28"/>
      <c r="D1" s="28"/>
      <c r="E1" s="28"/>
      <c r="F1" s="28"/>
      <c r="G1" s="28"/>
    </row>
    <row r="2" spans="2:7" customFormat="1" ht="25.5" customHeight="1">
      <c r="B2" s="27" t="s">
        <v>122</v>
      </c>
      <c r="C2" s="26"/>
      <c r="D2" s="26"/>
      <c r="E2" s="26"/>
      <c r="F2" s="26"/>
      <c r="G2" s="26"/>
    </row>
    <row r="3" spans="2:7" customFormat="1" ht="39" customHeight="1">
      <c r="B3" s="54" t="s">
        <v>215</v>
      </c>
      <c r="C3" s="53"/>
      <c r="D3" s="53"/>
      <c r="E3" s="53"/>
      <c r="F3" s="53"/>
      <c r="G3" s="53"/>
    </row>
    <row r="4" spans="2:7" customFormat="1" ht="15.75" customHeight="1">
      <c r="B4" s="52" t="s">
        <v>124</v>
      </c>
      <c r="C4" s="51"/>
      <c r="D4" s="51"/>
      <c r="E4" s="51"/>
      <c r="F4" s="51"/>
      <c r="G4" s="51"/>
    </row>
    <row r="5" spans="2:7" customFormat="1" ht="29.25" customHeight="1" thickBot="1">
      <c r="B5" s="31" t="s">
        <v>216</v>
      </c>
      <c r="C5" s="30"/>
      <c r="D5" s="30"/>
      <c r="E5" s="30"/>
      <c r="F5" s="30"/>
      <c r="G5" s="30"/>
    </row>
    <row r="6" spans="2:7" customFormat="1" ht="16.5" customHeight="1" thickBot="1">
      <c r="B6" s="351" t="s">
        <v>217</v>
      </c>
      <c r="C6" s="352"/>
      <c r="D6" s="352"/>
      <c r="E6" s="352"/>
      <c r="F6" s="352"/>
      <c r="G6" s="353">
        <f>SUM(G8:G993)</f>
        <v>0</v>
      </c>
    </row>
    <row r="7" spans="2:7" customFormat="1" ht="15.75" customHeight="1" thickBot="1">
      <c r="B7" s="354" t="s">
        <v>218</v>
      </c>
      <c r="C7" s="343" t="s">
        <v>219</v>
      </c>
      <c r="D7" s="343" t="s">
        <v>165</v>
      </c>
      <c r="E7" s="343" t="s">
        <v>166</v>
      </c>
      <c r="F7" s="344" t="s">
        <v>203</v>
      </c>
      <c r="G7" s="333" t="s">
        <v>220</v>
      </c>
    </row>
    <row r="8" spans="2:7" customFormat="1" ht="16.5" customHeight="1">
      <c r="B8" s="346"/>
      <c r="C8" s="346"/>
      <c r="D8" s="273"/>
      <c r="E8" s="273"/>
      <c r="F8" s="273"/>
      <c r="G8" s="273"/>
    </row>
    <row r="9" spans="2:7" customFormat="1" ht="15" customHeight="1">
      <c r="B9" s="346"/>
      <c r="C9" s="346"/>
      <c r="D9" s="273"/>
      <c r="E9" s="273"/>
      <c r="F9" s="349"/>
      <c r="G9" s="273"/>
    </row>
    <row r="10" spans="2:7" customFormat="1" ht="17.25" customHeight="1">
      <c r="B10" s="346"/>
      <c r="C10" s="346"/>
      <c r="D10" s="273"/>
      <c r="E10" s="273"/>
      <c r="F10" s="273"/>
      <c r="G10" s="273"/>
    </row>
    <row r="11" spans="2:7" customFormat="1" ht="15" customHeight="1">
      <c r="B11" s="346"/>
      <c r="C11" s="346"/>
      <c r="D11" s="273"/>
      <c r="E11" s="273"/>
      <c r="F11" s="349"/>
      <c r="G11" s="273"/>
    </row>
    <row r="12" spans="2:7" customFormat="1" ht="15" customHeight="1">
      <c r="B12" s="346"/>
      <c r="C12" s="346"/>
      <c r="D12" s="273"/>
      <c r="E12" s="273"/>
      <c r="F12" s="273"/>
      <c r="G12" s="273"/>
    </row>
    <row r="13" spans="2:7" customFormat="1" ht="18" customHeight="1">
      <c r="B13" s="346"/>
      <c r="C13" s="346"/>
      <c r="D13" s="273"/>
      <c r="E13" s="273"/>
      <c r="F13" s="349"/>
      <c r="G13" s="273"/>
    </row>
    <row r="14" spans="2:7" customFormat="1" ht="15" customHeight="1">
      <c r="B14" s="346"/>
      <c r="C14" s="346"/>
      <c r="D14" s="273"/>
      <c r="E14" s="273"/>
      <c r="F14" s="273"/>
      <c r="G14" s="273"/>
    </row>
    <row r="15" spans="2:7">
      <c r="B15" s="346"/>
      <c r="C15" s="346"/>
      <c r="D15" s="273"/>
      <c r="E15" s="273"/>
      <c r="F15" s="349"/>
      <c r="G15" s="273"/>
    </row>
    <row r="16" spans="2:7" customFormat="1" ht="15.75" customHeight="1">
      <c r="B16" s="346"/>
      <c r="C16" s="346"/>
      <c r="D16" s="273"/>
      <c r="E16" s="273"/>
      <c r="F16" s="273"/>
      <c r="G16" s="273"/>
    </row>
    <row r="17" spans="2:7" customFormat="1" ht="15" customHeight="1">
      <c r="B17" s="346"/>
      <c r="C17" s="346"/>
      <c r="D17" s="273"/>
      <c r="E17" s="273"/>
      <c r="F17" s="349"/>
      <c r="G17" s="273"/>
    </row>
    <row r="18" spans="2:7" customFormat="1" ht="15" customHeight="1">
      <c r="B18" s="346"/>
      <c r="C18" s="346"/>
      <c r="D18" s="273"/>
      <c r="E18" s="273"/>
      <c r="F18" s="273"/>
      <c r="G18" s="273"/>
    </row>
    <row r="19" spans="2:7" customFormat="1" ht="18" customHeight="1">
      <c r="B19" s="346"/>
      <c r="C19" s="346"/>
      <c r="D19" s="273"/>
      <c r="E19" s="273"/>
      <c r="F19" s="349"/>
      <c r="G19" s="273"/>
    </row>
    <row r="20" spans="2:7">
      <c r="B20" s="346"/>
      <c r="C20" s="346"/>
      <c r="D20" s="273"/>
      <c r="E20" s="273"/>
      <c r="F20" s="273"/>
      <c r="G20" s="273"/>
    </row>
    <row r="21" spans="2:7">
      <c r="B21" s="346"/>
      <c r="C21" s="346"/>
      <c r="D21" s="273"/>
      <c r="E21" s="273"/>
      <c r="F21" s="349"/>
      <c r="G21" s="273"/>
    </row>
    <row r="22" spans="2:7" customFormat="1" ht="15.75" customHeight="1">
      <c r="B22" s="346"/>
      <c r="C22" s="346"/>
      <c r="D22" s="273"/>
      <c r="E22" s="273"/>
      <c r="F22" s="273"/>
      <c r="G22" s="273"/>
    </row>
    <row r="23" spans="2:7" customFormat="1" ht="15.75" customHeight="1">
      <c r="B23" s="346"/>
      <c r="C23" s="346"/>
      <c r="D23" s="273"/>
      <c r="E23" s="273"/>
      <c r="F23" s="273"/>
      <c r="G23" s="273"/>
    </row>
    <row r="24" spans="2:7" customFormat="1" ht="15.75" customHeight="1">
      <c r="B24" s="346"/>
      <c r="C24" s="346"/>
      <c r="D24" s="273"/>
      <c r="E24" s="273"/>
      <c r="F24" s="273"/>
      <c r="G24" s="273"/>
    </row>
    <row r="25" spans="2:7" customFormat="1" ht="15.75" customHeight="1">
      <c r="B25" s="346"/>
      <c r="C25" s="346"/>
      <c r="D25" s="273"/>
      <c r="E25" s="273"/>
      <c r="F25" s="273"/>
      <c r="G25" s="273"/>
    </row>
  </sheetData>
  <mergeCells count="5">
    <mergeCell ref="B1:G1"/>
    <mergeCell ref="B2:G2"/>
    <mergeCell ref="B3:G3"/>
    <mergeCell ref="B4:G4"/>
    <mergeCell ref="B5:G5"/>
  </mergeCells>
  <dataValidations count="1">
    <dataValidation type="list" allowBlank="1" showInputMessage="1" showErrorMessage="1" sqref="E8:E25" xr:uid="{00000000-0002-0000-0700-000000000000}">
      <formula1>INDIRECT(D8)</formula1>
    </dataValidation>
  </dataValidations>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K25"/>
  <sheetViews>
    <sheetView workbookViewId="0">
      <selection activeCell="G25" sqref="G25"/>
    </sheetView>
  </sheetViews>
  <sheetFormatPr defaultColWidth="9.85546875" defaultRowHeight="15"/>
  <cols>
    <col min="1" max="1" width="9.85546875" customWidth="1"/>
    <col min="2" max="2" width="28.5703125" customWidth="1"/>
    <col min="3" max="3" width="25.28515625" customWidth="1"/>
    <col min="4" max="4" width="14.5703125" customWidth="1"/>
    <col min="5" max="5" width="13.85546875" customWidth="1"/>
    <col min="6" max="6" width="18.140625" bestFit="1" customWidth="1"/>
    <col min="7" max="7" width="14.42578125" customWidth="1"/>
  </cols>
  <sheetData>
    <row r="1" spans="1:37" ht="28.5" customHeight="1">
      <c r="A1" s="6" t="s">
        <v>221</v>
      </c>
      <c r="B1" s="5"/>
      <c r="C1" s="5"/>
      <c r="D1" s="5"/>
      <c r="E1" s="5"/>
      <c r="F1" s="5"/>
      <c r="G1" s="5"/>
    </row>
    <row r="2" spans="1:37" ht="19.5" customHeight="1">
      <c r="A2" s="4" t="s">
        <v>222</v>
      </c>
      <c r="B2" s="3"/>
      <c r="C2" s="3"/>
      <c r="D2" s="3"/>
      <c r="E2" s="3"/>
      <c r="F2" s="3"/>
      <c r="G2" s="3"/>
    </row>
    <row r="3" spans="1:37" s="355" customFormat="1">
      <c r="B3"/>
      <c r="C3"/>
      <c r="D3"/>
      <c r="E3"/>
      <c r="F3"/>
      <c r="G3"/>
      <c r="H3"/>
      <c r="I3"/>
      <c r="J3"/>
      <c r="K3"/>
      <c r="L3"/>
      <c r="M3"/>
      <c r="N3"/>
      <c r="O3"/>
      <c r="P3"/>
      <c r="Q3"/>
      <c r="R3"/>
      <c r="S3"/>
      <c r="T3"/>
      <c r="U3"/>
      <c r="V3"/>
      <c r="W3"/>
      <c r="X3"/>
      <c r="Y3"/>
      <c r="Z3"/>
      <c r="AA3"/>
      <c r="AB3"/>
      <c r="AC3"/>
      <c r="AD3"/>
      <c r="AE3"/>
      <c r="AF3"/>
      <c r="AG3"/>
      <c r="AH3"/>
      <c r="AI3"/>
      <c r="AJ3"/>
      <c r="AK3"/>
    </row>
    <row r="4" spans="1:37" s="356" customFormat="1" ht="15" customHeight="1">
      <c r="B4" s="7" t="s">
        <v>223</v>
      </c>
      <c r="C4" s="7"/>
      <c r="D4" s="7"/>
      <c r="E4" s="7"/>
      <c r="F4" s="7"/>
      <c r="G4" s="7"/>
      <c r="H4" s="355"/>
      <c r="I4" s="355"/>
      <c r="J4" s="355"/>
      <c r="K4" s="355"/>
      <c r="L4" s="355"/>
      <c r="M4" s="355"/>
      <c r="N4" s="355"/>
      <c r="O4" s="355"/>
      <c r="P4" s="355"/>
      <c r="Q4" s="355"/>
      <c r="R4" s="355"/>
      <c r="S4" s="355"/>
      <c r="T4" s="355"/>
      <c r="U4" s="355"/>
      <c r="V4" s="355"/>
      <c r="W4" s="355"/>
      <c r="X4" s="355"/>
      <c r="Y4" s="355"/>
      <c r="Z4" s="355"/>
      <c r="AA4" s="355"/>
      <c r="AB4" s="355"/>
      <c r="AC4" s="355"/>
      <c r="AD4" s="355"/>
      <c r="AE4" s="355"/>
      <c r="AF4" s="355"/>
      <c r="AG4" s="355"/>
      <c r="AH4" s="355"/>
      <c r="AI4" s="355"/>
      <c r="AJ4" s="355"/>
      <c r="AK4" s="355"/>
    </row>
    <row r="5" spans="1:37" s="356" customFormat="1" ht="15" customHeight="1">
      <c r="B5" s="7"/>
      <c r="C5" s="7"/>
      <c r="D5" s="7"/>
      <c r="E5" s="7"/>
      <c r="F5" s="7"/>
      <c r="G5" s="7"/>
      <c r="H5" s="355"/>
      <c r="I5" s="355"/>
      <c r="J5" s="355"/>
      <c r="K5" s="355"/>
      <c r="L5" s="355"/>
      <c r="M5" s="355"/>
      <c r="N5" s="355"/>
      <c r="O5" s="355"/>
      <c r="P5" s="355"/>
      <c r="Q5" s="355"/>
      <c r="R5" s="355"/>
      <c r="S5" s="355"/>
      <c r="T5" s="355"/>
      <c r="U5" s="355"/>
      <c r="V5" s="355"/>
      <c r="W5" s="355"/>
      <c r="X5" s="355"/>
      <c r="Y5" s="355"/>
      <c r="Z5" s="355"/>
      <c r="AA5" s="355"/>
      <c r="AB5" s="355"/>
      <c r="AC5" s="355"/>
      <c r="AD5" s="355"/>
      <c r="AE5" s="355"/>
      <c r="AF5" s="355"/>
      <c r="AG5" s="355"/>
      <c r="AH5" s="355"/>
      <c r="AI5" s="355"/>
      <c r="AJ5" s="355"/>
      <c r="AK5" s="355"/>
    </row>
    <row r="6" spans="1:37" s="356" customFormat="1" ht="15.2" customHeight="1">
      <c r="B6" s="25" t="s">
        <v>224</v>
      </c>
      <c r="C6" s="24"/>
      <c r="D6" s="25"/>
      <c r="E6" s="24"/>
      <c r="F6" s="357" t="s">
        <v>225</v>
      </c>
      <c r="G6" s="358">
        <f>'Table A Investment'!F7</f>
        <v>0</v>
      </c>
      <c r="H6" s="355"/>
      <c r="I6" s="355"/>
      <c r="J6" s="355"/>
      <c r="K6" s="355"/>
      <c r="L6" s="355"/>
      <c r="M6" s="355"/>
      <c r="N6" s="355"/>
      <c r="O6" s="355"/>
      <c r="P6" s="355"/>
      <c r="Q6" s="355"/>
      <c r="R6" s="355"/>
      <c r="S6" s="355"/>
      <c r="T6" s="355"/>
      <c r="U6" s="355"/>
      <c r="V6" s="355"/>
      <c r="W6" s="355"/>
      <c r="X6" s="355"/>
      <c r="Y6" s="355"/>
      <c r="Z6" s="355"/>
      <c r="AA6" s="355"/>
      <c r="AB6" s="355"/>
      <c r="AC6" s="355"/>
      <c r="AD6" s="355"/>
      <c r="AE6" s="355"/>
      <c r="AF6" s="355"/>
      <c r="AG6" s="355"/>
      <c r="AH6" s="355"/>
      <c r="AI6" s="355"/>
      <c r="AJ6" s="355"/>
      <c r="AK6" s="355"/>
    </row>
    <row r="7" spans="1:37" s="356" customFormat="1" ht="15.2" customHeight="1">
      <c r="B7" s="23"/>
      <c r="C7" s="22"/>
      <c r="D7" s="23"/>
      <c r="E7" s="22"/>
      <c r="F7" s="357" t="s">
        <v>226</v>
      </c>
      <c r="G7" s="358">
        <f>'Table A Investment'!F6</f>
        <v>0</v>
      </c>
      <c r="H7" s="355"/>
      <c r="I7" s="355"/>
      <c r="J7" s="355"/>
      <c r="K7" s="355"/>
      <c r="L7" s="355"/>
      <c r="M7" s="355"/>
      <c r="N7" s="355"/>
      <c r="O7" s="355"/>
      <c r="P7" s="355"/>
      <c r="Q7" s="355"/>
      <c r="R7" s="355"/>
      <c r="S7" s="355"/>
      <c r="T7" s="355"/>
      <c r="U7" s="355"/>
      <c r="V7" s="355"/>
      <c r="W7" s="355"/>
      <c r="X7" s="355"/>
      <c r="Y7" s="355"/>
      <c r="Z7" s="355"/>
      <c r="AA7" s="355"/>
      <c r="AB7" s="355"/>
      <c r="AC7" s="355"/>
      <c r="AD7" s="355"/>
      <c r="AE7" s="355"/>
      <c r="AF7" s="355"/>
      <c r="AG7" s="355"/>
      <c r="AH7" s="355"/>
      <c r="AI7" s="355"/>
      <c r="AJ7" s="355"/>
      <c r="AK7" s="355"/>
    </row>
    <row r="8" spans="1:37" s="356" customFormat="1" ht="16.5" customHeight="1">
      <c r="B8" s="25" t="s">
        <v>227</v>
      </c>
      <c r="C8" s="24"/>
      <c r="D8" s="10" t="s">
        <v>228</v>
      </c>
      <c r="E8" s="10" t="s">
        <v>145</v>
      </c>
      <c r="F8" s="359" t="s">
        <v>229</v>
      </c>
      <c r="G8" s="360">
        <f>'Table B Workforce - Contractor'!H18</f>
        <v>0</v>
      </c>
      <c r="H8" s="355"/>
      <c r="I8" s="355"/>
      <c r="J8" s="355"/>
      <c r="K8" s="355"/>
      <c r="L8" s="355"/>
      <c r="M8" s="355"/>
      <c r="N8" s="355"/>
      <c r="O8" s="355"/>
      <c r="P8" s="355"/>
      <c r="Q8" s="355"/>
      <c r="R8" s="355"/>
      <c r="S8" s="355"/>
      <c r="T8" s="355"/>
      <c r="U8" s="355"/>
      <c r="V8" s="355"/>
      <c r="W8" s="355"/>
      <c r="X8" s="355"/>
      <c r="Y8" s="355"/>
      <c r="Z8" s="355"/>
      <c r="AA8" s="355"/>
      <c r="AB8" s="355"/>
      <c r="AC8" s="355"/>
      <c r="AD8" s="355"/>
      <c r="AE8" s="355"/>
      <c r="AF8" s="355"/>
      <c r="AG8" s="355"/>
      <c r="AH8" s="355"/>
      <c r="AI8" s="355"/>
      <c r="AJ8" s="355"/>
      <c r="AK8" s="355"/>
    </row>
    <row r="9" spans="1:37" s="356" customFormat="1" ht="16.5" customHeight="1">
      <c r="B9" s="23"/>
      <c r="C9" s="22"/>
      <c r="D9" s="9"/>
      <c r="E9" s="9"/>
      <c r="F9" s="361" t="s">
        <v>230</v>
      </c>
      <c r="G9" s="362">
        <f>'Table B Workforce - Contractor'!I18</f>
        <v>0</v>
      </c>
      <c r="H9" s="355"/>
      <c r="I9" s="355"/>
      <c r="J9" s="355"/>
      <c r="K9" s="355"/>
      <c r="L9" s="355"/>
      <c r="M9" s="355"/>
      <c r="N9" s="355"/>
      <c r="O9" s="355"/>
      <c r="P9" s="355"/>
      <c r="Q9" s="355"/>
      <c r="R9" s="355"/>
      <c r="S9" s="355"/>
      <c r="T9" s="355"/>
      <c r="U9" s="355"/>
      <c r="V9" s="355"/>
      <c r="W9" s="355"/>
      <c r="X9" s="355"/>
      <c r="Y9" s="355"/>
      <c r="Z9" s="355"/>
      <c r="AA9" s="355"/>
      <c r="AB9" s="355"/>
      <c r="AC9" s="355"/>
      <c r="AD9" s="355"/>
      <c r="AE9" s="355"/>
      <c r="AF9" s="355"/>
      <c r="AG9" s="355"/>
      <c r="AH9" s="355"/>
      <c r="AI9" s="355"/>
      <c r="AJ9" s="355"/>
      <c r="AK9" s="355"/>
    </row>
    <row r="10" spans="1:37" s="356" customFormat="1" ht="16.5" customHeight="1">
      <c r="B10" s="23"/>
      <c r="C10" s="22"/>
      <c r="D10" s="9"/>
      <c r="E10" s="9"/>
      <c r="F10" s="361" t="s">
        <v>231</v>
      </c>
      <c r="G10" s="362">
        <f>'Table B Workforce - Contractor'!J18</f>
        <v>0</v>
      </c>
      <c r="H10" s="355"/>
      <c r="I10" s="355"/>
      <c r="J10" s="355"/>
      <c r="K10" s="355"/>
      <c r="L10" s="355"/>
      <c r="M10" s="355"/>
      <c r="N10" s="355"/>
      <c r="O10" s="355"/>
      <c r="P10" s="355"/>
      <c r="Q10" s="355"/>
      <c r="R10" s="355"/>
      <c r="S10" s="355"/>
      <c r="T10" s="355"/>
      <c r="U10" s="355"/>
      <c r="V10" s="355"/>
      <c r="W10" s="355"/>
      <c r="X10" s="355"/>
      <c r="Y10" s="355"/>
      <c r="Z10" s="355"/>
      <c r="AA10" s="355"/>
      <c r="AB10" s="355"/>
      <c r="AC10" s="355"/>
      <c r="AD10" s="355"/>
      <c r="AE10" s="355"/>
      <c r="AF10" s="355"/>
      <c r="AG10" s="355"/>
      <c r="AH10" s="355"/>
      <c r="AI10" s="355"/>
      <c r="AJ10" s="355"/>
      <c r="AK10" s="355"/>
    </row>
    <row r="11" spans="1:37" s="356" customFormat="1" ht="30" customHeight="1">
      <c r="B11" s="23"/>
      <c r="C11" s="22"/>
      <c r="D11" s="9"/>
      <c r="E11" s="8"/>
      <c r="F11" s="361" t="s">
        <v>232</v>
      </c>
      <c r="G11" s="362">
        <f>'Table B Workforce - Contractor'!H20</f>
        <v>0</v>
      </c>
      <c r="H11" s="355"/>
      <c r="I11" s="355"/>
      <c r="J11" s="355"/>
      <c r="K11" s="355"/>
      <c r="L11" s="355"/>
      <c r="M11" s="355"/>
      <c r="N11" s="355"/>
      <c r="O11" s="355"/>
      <c r="P11" s="355"/>
      <c r="Q11" s="355"/>
      <c r="R11" s="355"/>
      <c r="S11" s="355"/>
      <c r="T11" s="355"/>
      <c r="U11" s="355"/>
      <c r="V11" s="355"/>
      <c r="W11" s="355"/>
      <c r="X11" s="355"/>
      <c r="Y11" s="355"/>
      <c r="Z11" s="355"/>
      <c r="AA11" s="355"/>
      <c r="AB11" s="355"/>
      <c r="AC11" s="355"/>
      <c r="AD11" s="355"/>
      <c r="AE11" s="355"/>
      <c r="AF11" s="355"/>
      <c r="AG11" s="355"/>
      <c r="AH11" s="355"/>
      <c r="AI11" s="355"/>
      <c r="AJ11" s="355"/>
      <c r="AK11" s="355"/>
    </row>
    <row r="12" spans="1:37" s="356" customFormat="1" ht="15.2" customHeight="1">
      <c r="B12" s="23"/>
      <c r="C12" s="22"/>
      <c r="D12" s="9"/>
      <c r="E12" s="10" t="s">
        <v>146</v>
      </c>
      <c r="F12" s="361" t="s">
        <v>229</v>
      </c>
      <c r="G12" s="360">
        <f>'Table B Workforce - Contractor'!H19</f>
        <v>0</v>
      </c>
      <c r="H12" s="355"/>
      <c r="I12" s="355"/>
      <c r="J12" s="355"/>
      <c r="K12" s="355"/>
      <c r="L12" s="355"/>
      <c r="M12" s="355"/>
      <c r="N12" s="355"/>
      <c r="O12" s="355"/>
      <c r="P12" s="355"/>
      <c r="Q12" s="355"/>
      <c r="R12" s="355"/>
      <c r="S12" s="355"/>
      <c r="T12" s="355"/>
      <c r="U12" s="355"/>
      <c r="V12" s="355"/>
      <c r="W12" s="355"/>
      <c r="X12" s="355"/>
      <c r="Y12" s="355"/>
      <c r="Z12" s="355"/>
      <c r="AA12" s="355"/>
      <c r="AB12" s="355"/>
      <c r="AC12" s="355"/>
      <c r="AD12" s="355"/>
      <c r="AE12" s="355"/>
      <c r="AF12" s="355"/>
      <c r="AG12" s="355"/>
      <c r="AH12" s="355"/>
      <c r="AI12" s="355"/>
      <c r="AJ12" s="355"/>
      <c r="AK12" s="355"/>
    </row>
    <row r="13" spans="1:37" s="356" customFormat="1" ht="15.2" customHeight="1">
      <c r="B13" s="23"/>
      <c r="C13" s="22"/>
      <c r="D13" s="9"/>
      <c r="E13" s="9"/>
      <c r="F13" s="361" t="s">
        <v>230</v>
      </c>
      <c r="G13" s="362">
        <f>'Table B Workforce - Contractor'!I19</f>
        <v>0</v>
      </c>
      <c r="H13" s="355"/>
      <c r="I13" s="355"/>
      <c r="J13" s="355"/>
      <c r="K13" s="355"/>
      <c r="L13" s="355"/>
      <c r="M13" s="355"/>
      <c r="N13" s="355"/>
      <c r="O13" s="355"/>
      <c r="P13" s="355"/>
      <c r="Q13" s="355"/>
      <c r="R13" s="355"/>
      <c r="S13" s="355"/>
      <c r="T13" s="355"/>
      <c r="U13" s="355"/>
      <c r="V13" s="355"/>
      <c r="W13" s="355"/>
      <c r="X13" s="355"/>
      <c r="Y13" s="355"/>
      <c r="Z13" s="355"/>
      <c r="AA13" s="355"/>
      <c r="AB13" s="355"/>
      <c r="AC13" s="355"/>
      <c r="AD13" s="355"/>
      <c r="AE13" s="355"/>
      <c r="AF13" s="355"/>
      <c r="AG13" s="355"/>
      <c r="AH13" s="355"/>
      <c r="AI13" s="355"/>
      <c r="AJ13" s="355"/>
      <c r="AK13" s="355"/>
    </row>
    <row r="14" spans="1:37" s="356" customFormat="1" ht="15.2" customHeight="1">
      <c r="B14" s="23"/>
      <c r="C14" s="22"/>
      <c r="D14" s="8"/>
      <c r="E14" s="8"/>
      <c r="F14" s="361" t="s">
        <v>231</v>
      </c>
      <c r="G14" s="362">
        <f>'Table B Workforce - Contractor'!J19</f>
        <v>0</v>
      </c>
      <c r="H14" s="355"/>
      <c r="I14" s="355"/>
      <c r="J14" s="355"/>
      <c r="K14" s="355"/>
      <c r="L14" s="355"/>
      <c r="M14" s="355"/>
      <c r="N14" s="355"/>
      <c r="O14" s="355"/>
      <c r="P14" s="355"/>
      <c r="Q14" s="355"/>
      <c r="R14" s="355"/>
      <c r="S14" s="355"/>
      <c r="T14" s="355"/>
      <c r="U14" s="355"/>
      <c r="V14" s="355"/>
      <c r="W14" s="355"/>
      <c r="X14" s="355"/>
      <c r="Y14" s="355"/>
      <c r="Z14" s="355"/>
      <c r="AA14" s="355"/>
      <c r="AB14" s="355"/>
      <c r="AC14" s="355"/>
      <c r="AD14" s="355"/>
      <c r="AE14" s="355"/>
      <c r="AF14" s="355"/>
      <c r="AG14" s="355"/>
      <c r="AH14" s="355"/>
      <c r="AI14" s="355"/>
      <c r="AJ14" s="355"/>
      <c r="AK14" s="355"/>
    </row>
    <row r="15" spans="1:37" s="356" customFormat="1" ht="15.2" customHeight="1">
      <c r="B15" s="25" t="s">
        <v>233</v>
      </c>
      <c r="C15" s="24"/>
      <c r="D15" s="19" t="s">
        <v>234</v>
      </c>
      <c r="E15" s="18"/>
      <c r="F15" s="361" t="s">
        <v>235</v>
      </c>
      <c r="G15" s="363">
        <f>'Table C Goods '!M6</f>
        <v>0</v>
      </c>
      <c r="H15" s="355"/>
      <c r="I15" s="355"/>
      <c r="J15" s="355"/>
      <c r="K15" s="355"/>
      <c r="L15" s="355"/>
      <c r="M15" s="355"/>
      <c r="N15" s="355"/>
      <c r="O15" s="355"/>
      <c r="P15" s="355"/>
      <c r="Q15" s="355"/>
      <c r="R15" s="355"/>
      <c r="S15" s="355"/>
      <c r="T15" s="355"/>
      <c r="U15" s="355"/>
      <c r="V15" s="355"/>
      <c r="W15" s="355"/>
      <c r="X15" s="355"/>
      <c r="Y15" s="355"/>
      <c r="Z15" s="355"/>
      <c r="AA15" s="355"/>
      <c r="AB15" s="355"/>
      <c r="AC15" s="355"/>
      <c r="AD15" s="355"/>
      <c r="AE15" s="355"/>
      <c r="AF15" s="355"/>
      <c r="AG15" s="355"/>
      <c r="AH15" s="355"/>
      <c r="AI15" s="355"/>
      <c r="AJ15" s="355"/>
      <c r="AK15" s="355"/>
    </row>
    <row r="16" spans="1:37" s="356" customFormat="1" ht="15.2" customHeight="1">
      <c r="B16" s="23"/>
      <c r="C16" s="22"/>
      <c r="D16" s="17"/>
      <c r="E16" s="16"/>
      <c r="F16" s="361" t="s">
        <v>236</v>
      </c>
      <c r="G16" s="363">
        <f>'Table C Goods '!M7</f>
        <v>0</v>
      </c>
      <c r="H16" s="355"/>
      <c r="I16" s="355"/>
      <c r="J16" s="355"/>
      <c r="K16" s="355"/>
      <c r="L16" s="355"/>
      <c r="M16" s="355"/>
      <c r="N16" s="355"/>
      <c r="O16" s="355"/>
      <c r="P16" s="355"/>
      <c r="Q16" s="355"/>
      <c r="R16" s="355"/>
      <c r="S16" s="355"/>
      <c r="T16" s="355"/>
      <c r="U16" s="355"/>
      <c r="V16" s="355"/>
      <c r="W16" s="355"/>
      <c r="X16" s="355"/>
      <c r="Y16" s="355"/>
      <c r="Z16" s="355"/>
      <c r="AA16" s="355"/>
      <c r="AB16" s="355"/>
      <c r="AC16" s="355"/>
      <c r="AD16" s="355"/>
      <c r="AE16" s="355"/>
      <c r="AF16" s="355"/>
      <c r="AG16" s="355"/>
      <c r="AH16" s="355"/>
      <c r="AI16" s="355"/>
      <c r="AJ16" s="355"/>
      <c r="AK16" s="355"/>
    </row>
    <row r="17" spans="2:37" s="356" customFormat="1" ht="15.2" hidden="1" customHeight="1">
      <c r="B17" s="23"/>
      <c r="C17" s="22"/>
      <c r="D17" s="15"/>
      <c r="E17" s="14"/>
      <c r="F17" s="361" t="s">
        <v>201</v>
      </c>
      <c r="G17" s="363">
        <f>'Table C Goods '!M8</f>
        <v>0</v>
      </c>
      <c r="H17" s="355"/>
      <c r="I17" s="355"/>
      <c r="J17" s="355"/>
      <c r="K17" s="355"/>
      <c r="L17" s="355"/>
      <c r="M17" s="355"/>
      <c r="N17" s="355"/>
      <c r="O17" s="355"/>
      <c r="P17" s="355"/>
      <c r="Q17" s="355"/>
      <c r="R17" s="355"/>
      <c r="S17" s="355"/>
      <c r="T17" s="355"/>
      <c r="U17" s="355"/>
      <c r="V17" s="355"/>
      <c r="W17" s="355"/>
      <c r="X17" s="355"/>
      <c r="Y17" s="355"/>
      <c r="Z17" s="355"/>
      <c r="AA17" s="355"/>
      <c r="AB17" s="355"/>
      <c r="AC17" s="355"/>
      <c r="AD17" s="355"/>
      <c r="AE17" s="355"/>
      <c r="AF17" s="355"/>
      <c r="AG17" s="355"/>
      <c r="AH17" s="355"/>
      <c r="AI17" s="355"/>
      <c r="AJ17" s="355"/>
      <c r="AK17" s="355"/>
    </row>
    <row r="18" spans="2:37" s="356" customFormat="1" ht="15.2" customHeight="1">
      <c r="B18" s="23"/>
      <c r="C18" s="22"/>
      <c r="D18" s="19" t="s">
        <v>237</v>
      </c>
      <c r="E18" s="18"/>
      <c r="F18" s="361" t="s">
        <v>235</v>
      </c>
      <c r="G18" s="363">
        <f>'Table C Goods '!M9</f>
        <v>0</v>
      </c>
      <c r="H18" s="355"/>
      <c r="I18" s="355"/>
      <c r="J18" s="355"/>
      <c r="K18" s="355"/>
      <c r="L18" s="355"/>
      <c r="M18" s="355"/>
      <c r="N18" s="355"/>
      <c r="O18" s="355"/>
      <c r="P18" s="355"/>
      <c r="Q18" s="355"/>
      <c r="R18" s="355"/>
      <c r="S18" s="355"/>
      <c r="T18" s="355"/>
      <c r="U18" s="355"/>
      <c r="V18" s="355"/>
      <c r="W18" s="355"/>
      <c r="X18" s="355"/>
      <c r="Y18" s="355"/>
      <c r="Z18" s="355"/>
      <c r="AA18" s="355"/>
      <c r="AB18" s="355"/>
      <c r="AC18" s="355"/>
      <c r="AD18" s="355"/>
      <c r="AE18" s="355"/>
      <c r="AF18" s="355"/>
      <c r="AG18" s="355"/>
      <c r="AH18" s="355"/>
      <c r="AI18" s="355"/>
      <c r="AJ18" s="355"/>
      <c r="AK18" s="355"/>
    </row>
    <row r="19" spans="2:37" s="356" customFormat="1" ht="15.2" customHeight="1">
      <c r="B19" s="23"/>
      <c r="C19" s="22"/>
      <c r="D19" s="17"/>
      <c r="E19" s="16"/>
      <c r="F19" s="361" t="s">
        <v>238</v>
      </c>
      <c r="G19" s="363">
        <f>'Table C Goods '!M10</f>
        <v>0</v>
      </c>
      <c r="H19" s="355"/>
      <c r="I19" s="355"/>
      <c r="J19" s="355"/>
      <c r="K19" s="355"/>
      <c r="L19" s="355"/>
      <c r="M19" s="355"/>
      <c r="N19" s="355"/>
      <c r="O19" s="355"/>
      <c r="P19" s="355"/>
      <c r="Q19" s="355"/>
      <c r="R19" s="355"/>
      <c r="S19" s="355"/>
      <c r="T19" s="355"/>
      <c r="U19" s="355"/>
      <c r="V19" s="355"/>
      <c r="W19" s="355"/>
      <c r="X19" s="355"/>
      <c r="Y19" s="355"/>
      <c r="Z19" s="355"/>
      <c r="AA19" s="355"/>
      <c r="AB19" s="355"/>
      <c r="AC19" s="355"/>
      <c r="AD19" s="355"/>
      <c r="AE19" s="355"/>
      <c r="AF19" s="355"/>
      <c r="AG19" s="355"/>
      <c r="AH19" s="355"/>
      <c r="AI19" s="355"/>
      <c r="AJ19" s="355"/>
      <c r="AK19" s="355"/>
    </row>
    <row r="20" spans="2:37" s="356" customFormat="1" ht="15.2" customHeight="1">
      <c r="B20" s="23"/>
      <c r="C20" s="22"/>
      <c r="D20" s="17"/>
      <c r="E20" s="16"/>
      <c r="F20" s="361" t="s">
        <v>236</v>
      </c>
      <c r="G20" s="363">
        <f>'Table C Goods '!M11</f>
        <v>0</v>
      </c>
      <c r="H20" s="355"/>
      <c r="I20" s="355"/>
      <c r="J20" s="355"/>
      <c r="K20" s="355"/>
      <c r="L20" s="355"/>
      <c r="M20" s="355"/>
      <c r="N20" s="355"/>
      <c r="O20" s="355"/>
      <c r="P20" s="355"/>
      <c r="Q20" s="355"/>
      <c r="R20" s="355"/>
      <c r="S20" s="355"/>
      <c r="T20" s="355"/>
      <c r="U20" s="355"/>
      <c r="V20" s="355"/>
      <c r="W20" s="355"/>
      <c r="X20" s="355"/>
      <c r="Y20" s="355"/>
      <c r="Z20" s="355"/>
      <c r="AA20" s="355"/>
      <c r="AB20" s="355"/>
      <c r="AC20" s="355"/>
      <c r="AD20" s="355"/>
      <c r="AE20" s="355"/>
      <c r="AF20" s="355"/>
      <c r="AG20" s="355"/>
      <c r="AH20" s="355"/>
      <c r="AI20" s="355"/>
      <c r="AJ20" s="355"/>
      <c r="AK20" s="355"/>
    </row>
    <row r="21" spans="2:37" s="356" customFormat="1" ht="15.2" hidden="1" customHeight="1">
      <c r="B21" s="21"/>
      <c r="C21" s="20"/>
      <c r="D21" s="15"/>
      <c r="E21" s="14"/>
      <c r="F21" s="361" t="s">
        <v>201</v>
      </c>
      <c r="G21" s="363">
        <f>'Table C Goods '!M12</f>
        <v>0</v>
      </c>
      <c r="H21" s="355"/>
      <c r="I21" s="355"/>
      <c r="J21" s="355"/>
      <c r="K21" s="355"/>
      <c r="L21" s="355"/>
      <c r="M21" s="355"/>
      <c r="N21" s="355"/>
      <c r="O21" s="355"/>
      <c r="P21" s="355"/>
      <c r="Q21" s="355"/>
      <c r="R21" s="355"/>
      <c r="S21" s="355"/>
      <c r="T21" s="355"/>
      <c r="U21" s="355"/>
      <c r="V21" s="355"/>
      <c r="W21" s="355"/>
      <c r="X21" s="355"/>
      <c r="Y21" s="355"/>
      <c r="Z21" s="355"/>
      <c r="AA21" s="355"/>
      <c r="AB21" s="355"/>
      <c r="AC21" s="355"/>
      <c r="AD21" s="355"/>
      <c r="AE21" s="355"/>
      <c r="AF21" s="355"/>
      <c r="AG21" s="355"/>
      <c r="AH21" s="355"/>
      <c r="AI21" s="355"/>
      <c r="AJ21" s="355"/>
      <c r="AK21" s="355"/>
    </row>
    <row r="22" spans="2:37" s="356" customFormat="1" ht="15.2" customHeight="1">
      <c r="B22" s="25" t="s">
        <v>10</v>
      </c>
      <c r="C22" s="13"/>
      <c r="D22" s="13"/>
      <c r="E22" s="24"/>
      <c r="F22" s="361" t="s">
        <v>235</v>
      </c>
      <c r="G22" s="363">
        <f>'Table D Services'!L6</f>
        <v>0</v>
      </c>
      <c r="H22" s="355"/>
      <c r="I22" s="355"/>
      <c r="J22" s="355"/>
      <c r="K22" s="355"/>
      <c r="L22" s="355"/>
      <c r="M22" s="355"/>
      <c r="N22" s="355"/>
      <c r="O22" s="355"/>
      <c r="P22" s="355"/>
      <c r="Q22" s="355"/>
      <c r="R22" s="355"/>
      <c r="S22" s="355"/>
      <c r="T22" s="355"/>
      <c r="U22" s="355"/>
      <c r="V22" s="355"/>
      <c r="W22" s="355"/>
      <c r="X22" s="355"/>
      <c r="Y22" s="355"/>
      <c r="Z22" s="355"/>
      <c r="AA22" s="355"/>
      <c r="AB22" s="355"/>
      <c r="AC22" s="355"/>
      <c r="AD22" s="355"/>
      <c r="AE22" s="355"/>
      <c r="AF22" s="355"/>
      <c r="AG22" s="355"/>
      <c r="AH22" s="355"/>
      <c r="AI22" s="355"/>
      <c r="AJ22" s="355"/>
      <c r="AK22" s="355"/>
    </row>
    <row r="23" spans="2:37" s="356" customFormat="1" ht="15.2" customHeight="1">
      <c r="B23" s="23"/>
      <c r="C23" s="12"/>
      <c r="D23" s="12"/>
      <c r="E23" s="22"/>
      <c r="F23" s="361" t="s">
        <v>238</v>
      </c>
      <c r="G23" s="362">
        <f>'Table D Services'!L7</f>
        <v>0</v>
      </c>
      <c r="H23" s="355"/>
      <c r="I23" s="355"/>
      <c r="J23" s="355"/>
      <c r="K23" s="355"/>
      <c r="L23" s="355"/>
      <c r="M23" s="355"/>
      <c r="N23" s="355"/>
      <c r="O23" s="355"/>
      <c r="P23" s="355"/>
      <c r="Q23" s="355"/>
      <c r="R23" s="355"/>
      <c r="S23" s="355"/>
      <c r="T23" s="355"/>
      <c r="U23" s="355"/>
      <c r="V23" s="355"/>
      <c r="W23" s="355"/>
      <c r="X23" s="355"/>
      <c r="Y23" s="355"/>
      <c r="Z23" s="355"/>
      <c r="AA23" s="355"/>
      <c r="AB23" s="355"/>
      <c r="AC23" s="355"/>
      <c r="AD23" s="355"/>
      <c r="AE23" s="355"/>
      <c r="AF23" s="355"/>
      <c r="AG23" s="355"/>
      <c r="AH23" s="355"/>
      <c r="AI23" s="355"/>
      <c r="AJ23" s="355"/>
      <c r="AK23" s="355"/>
    </row>
    <row r="24" spans="2:37" s="356" customFormat="1" ht="15.2" customHeight="1">
      <c r="B24" s="23"/>
      <c r="C24" s="12"/>
      <c r="D24" s="12"/>
      <c r="E24" s="22"/>
      <c r="F24" s="361" t="s">
        <v>236</v>
      </c>
      <c r="G24" s="362">
        <f>'Table D Services'!L8</f>
        <v>0</v>
      </c>
      <c r="H24" s="355"/>
      <c r="I24" s="355"/>
      <c r="J24" s="355"/>
      <c r="K24" s="355"/>
      <c r="L24" s="355"/>
      <c r="M24" s="355"/>
      <c r="N24" s="355"/>
      <c r="O24" s="355"/>
      <c r="P24" s="355"/>
      <c r="Q24" s="355"/>
      <c r="R24" s="355"/>
      <c r="S24" s="355"/>
      <c r="T24" s="355"/>
      <c r="U24" s="355"/>
      <c r="V24" s="355"/>
      <c r="W24" s="355"/>
      <c r="X24" s="355"/>
      <c r="Y24" s="355"/>
      <c r="Z24" s="355"/>
      <c r="AA24" s="355"/>
      <c r="AB24" s="355"/>
      <c r="AC24" s="355"/>
      <c r="AD24" s="355"/>
      <c r="AE24" s="355"/>
      <c r="AF24" s="355"/>
      <c r="AG24" s="355"/>
      <c r="AH24" s="355"/>
      <c r="AI24" s="355"/>
      <c r="AJ24" s="355"/>
      <c r="AK24" s="355"/>
    </row>
    <row r="25" spans="2:37" s="356" customFormat="1" ht="15.2" hidden="1" customHeight="1">
      <c r="B25" s="21"/>
      <c r="C25" s="11"/>
      <c r="D25" s="11"/>
      <c r="E25" s="20"/>
      <c r="F25" s="361" t="s">
        <v>201</v>
      </c>
      <c r="G25" s="362">
        <f>'Table D Services'!L9</f>
        <v>0</v>
      </c>
      <c r="H25" s="355"/>
      <c r="I25" s="355"/>
      <c r="J25" s="355"/>
      <c r="K25" s="355"/>
      <c r="L25" s="355"/>
      <c r="M25" s="355"/>
      <c r="N25" s="355"/>
      <c r="O25" s="355"/>
      <c r="P25" s="355"/>
      <c r="Q25" s="355"/>
      <c r="R25" s="355"/>
      <c r="S25" s="355"/>
      <c r="T25" s="355"/>
      <c r="U25" s="355"/>
      <c r="V25" s="355"/>
      <c r="W25" s="355"/>
      <c r="X25" s="355"/>
      <c r="Y25" s="355"/>
      <c r="Z25" s="355"/>
      <c r="AA25" s="355"/>
      <c r="AB25" s="355"/>
      <c r="AC25" s="355"/>
      <c r="AD25" s="355"/>
      <c r="AE25" s="355"/>
      <c r="AF25" s="355"/>
      <c r="AG25" s="355"/>
      <c r="AH25" s="355"/>
      <c r="AI25" s="355"/>
      <c r="AJ25" s="355"/>
      <c r="AK25" s="355"/>
    </row>
  </sheetData>
  <mergeCells count="13">
    <mergeCell ref="B4:G5"/>
    <mergeCell ref="B6:C7"/>
    <mergeCell ref="D6:E7"/>
    <mergeCell ref="A1:G1"/>
    <mergeCell ref="A2:G2"/>
    <mergeCell ref="B15:C21"/>
    <mergeCell ref="D15:E17"/>
    <mergeCell ref="D18:E21"/>
    <mergeCell ref="B22:E25"/>
    <mergeCell ref="B8:C14"/>
    <mergeCell ref="D8:D14"/>
    <mergeCell ref="E8:E11"/>
    <mergeCell ref="E12:E14"/>
  </mergeCells>
  <pageMargins left="0.7" right="0.7" top="0.75" bottom="0.75" header="0.3" footer="0.3"/>
  <pageSetup orientation="portrait" horizontalDpi="300" verticalDpi="30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B255"/>
  <sheetViews>
    <sheetView workbookViewId="0">
      <selection activeCell="E5" sqref="E5"/>
    </sheetView>
  </sheetViews>
  <sheetFormatPr defaultRowHeight="15"/>
  <cols>
    <col min="1" max="1" width="26.85546875" customWidth="1"/>
    <col min="2" max="2" width="35.140625" customWidth="1"/>
    <col min="3" max="3" width="36.5703125" bestFit="1" customWidth="1"/>
    <col min="4" max="4" width="9.140625" customWidth="1"/>
    <col min="5" max="5" width="24.5703125" bestFit="1" customWidth="1"/>
    <col min="6" max="6" width="9.140625" customWidth="1"/>
    <col min="7" max="7" width="62" customWidth="1"/>
    <col min="8" max="8" width="9.140625" customWidth="1"/>
    <col min="9" max="9" width="48.140625" bestFit="1" customWidth="1"/>
    <col min="10" max="10" width="24.5703125" bestFit="1" customWidth="1"/>
    <col min="11" max="11" width="26.140625" bestFit="1" customWidth="1"/>
    <col min="12" max="12" width="9.140625" customWidth="1"/>
    <col min="13" max="13" width="38.85546875" bestFit="1" customWidth="1"/>
    <col min="14" max="14" width="9.140625" customWidth="1"/>
    <col min="15" max="15" width="22.5703125" bestFit="1" customWidth="1"/>
    <col min="16" max="16" width="35.28515625" bestFit="1" customWidth="1"/>
    <col min="17" max="17" width="35.5703125" bestFit="1" customWidth="1"/>
    <col min="18" max="18" width="32.7109375" bestFit="1" customWidth="1"/>
    <col min="19" max="19" width="19.42578125" bestFit="1" customWidth="1"/>
    <col min="20" max="20" width="39.42578125" bestFit="1" customWidth="1"/>
    <col min="21" max="21" width="9.140625" customWidth="1"/>
    <col min="22" max="22" width="41.28515625" customWidth="1"/>
    <col min="23" max="23" width="35.85546875" bestFit="1" customWidth="1"/>
    <col min="24" max="24" width="37.5703125" bestFit="1" customWidth="1"/>
    <col min="25" max="25" width="32.42578125" bestFit="1" customWidth="1"/>
    <col min="26" max="26" width="39.5703125" customWidth="1"/>
    <col min="27" max="27" width="35.140625" bestFit="1" customWidth="1"/>
    <col min="28" max="28" width="36.42578125" customWidth="1"/>
  </cols>
  <sheetData>
    <row r="1" spans="1:28" ht="15.75" customHeight="1" thickBot="1">
      <c r="A1" s="364" t="s">
        <v>130</v>
      </c>
      <c r="B1" s="364"/>
      <c r="C1" s="365" t="s">
        <v>239</v>
      </c>
      <c r="E1" s="364" t="s">
        <v>240</v>
      </c>
      <c r="G1" s="364" t="s">
        <v>241</v>
      </c>
      <c r="I1" s="366" t="s">
        <v>242</v>
      </c>
      <c r="J1" s="367" t="s">
        <v>243</v>
      </c>
      <c r="K1" s="367" t="s">
        <v>244</v>
      </c>
      <c r="M1" s="365" t="s">
        <v>245</v>
      </c>
      <c r="O1" s="2" t="s">
        <v>233</v>
      </c>
      <c r="P1" s="2"/>
      <c r="Q1" s="2"/>
      <c r="R1" s="2"/>
      <c r="S1" s="2"/>
      <c r="T1" s="2"/>
      <c r="V1" s="1" t="s">
        <v>10</v>
      </c>
      <c r="W1" s="1"/>
      <c r="X1" s="1"/>
      <c r="Y1" s="1"/>
      <c r="Z1" s="1"/>
      <c r="AA1" s="1"/>
      <c r="AB1" s="1"/>
    </row>
    <row r="2" spans="1:28" ht="15.75" customHeight="1" thickBot="1">
      <c r="A2" t="s">
        <v>246</v>
      </c>
      <c r="C2" s="368" t="s">
        <v>247</v>
      </c>
      <c r="E2" s="233" t="s">
        <v>248</v>
      </c>
      <c r="G2" s="233" t="s">
        <v>249</v>
      </c>
      <c r="I2" s="369" t="s">
        <v>250</v>
      </c>
      <c r="J2" s="369" t="s">
        <v>236</v>
      </c>
      <c r="K2" s="370" t="s">
        <v>251</v>
      </c>
      <c r="M2" s="368" t="s">
        <v>252</v>
      </c>
      <c r="O2" s="364" t="s">
        <v>253</v>
      </c>
      <c r="P2" s="364" t="s">
        <v>254</v>
      </c>
      <c r="Q2" s="364" t="s">
        <v>255</v>
      </c>
      <c r="R2" s="364" t="s">
        <v>256</v>
      </c>
      <c r="S2" s="364" t="s">
        <v>257</v>
      </c>
      <c r="V2" s="364" t="s">
        <v>258</v>
      </c>
      <c r="W2" s="364" t="s">
        <v>259</v>
      </c>
      <c r="X2" s="364" t="s">
        <v>260</v>
      </c>
      <c r="Y2" s="364" t="s">
        <v>261</v>
      </c>
      <c r="Z2" s="371" t="s">
        <v>262</v>
      </c>
      <c r="AA2" s="371" t="s">
        <v>263</v>
      </c>
      <c r="AB2" s="364" t="s">
        <v>264</v>
      </c>
    </row>
    <row r="3" spans="1:28" ht="27" customHeight="1" thickBot="1">
      <c r="A3" t="s">
        <v>265</v>
      </c>
      <c r="C3" s="368" t="s">
        <v>266</v>
      </c>
      <c r="E3" s="233" t="s">
        <v>236</v>
      </c>
      <c r="G3" s="233" t="s">
        <v>267</v>
      </c>
      <c r="I3" s="372" t="s">
        <v>268</v>
      </c>
      <c r="J3" s="372" t="s">
        <v>201</v>
      </c>
      <c r="K3" s="372"/>
      <c r="M3" s="368" t="s">
        <v>269</v>
      </c>
      <c r="O3" s="373" t="s">
        <v>270</v>
      </c>
      <c r="P3" s="373" t="s">
        <v>271</v>
      </c>
      <c r="Q3" s="373" t="s">
        <v>272</v>
      </c>
      <c r="R3" s="373" t="s">
        <v>273</v>
      </c>
      <c r="S3" s="374" t="s">
        <v>274</v>
      </c>
      <c r="V3" s="241" t="s">
        <v>275</v>
      </c>
      <c r="W3" s="235" t="s">
        <v>276</v>
      </c>
      <c r="X3" s="235" t="s">
        <v>252</v>
      </c>
      <c r="Y3" s="235" t="s">
        <v>277</v>
      </c>
      <c r="Z3" s="235" t="s">
        <v>278</v>
      </c>
      <c r="AA3" s="236" t="s">
        <v>279</v>
      </c>
      <c r="AB3" s="236" t="s">
        <v>274</v>
      </c>
    </row>
    <row r="4" spans="1:28" ht="15.75" customHeight="1" thickBot="1">
      <c r="A4" t="s">
        <v>280</v>
      </c>
      <c r="C4" s="368" t="s">
        <v>281</v>
      </c>
      <c r="E4" s="233" t="s">
        <v>201</v>
      </c>
      <c r="G4" s="233" t="s">
        <v>282</v>
      </c>
      <c r="I4" s="375"/>
      <c r="J4" s="376" t="s">
        <v>283</v>
      </c>
      <c r="K4" s="377"/>
      <c r="M4" s="368" t="s">
        <v>284</v>
      </c>
      <c r="O4" s="373" t="s">
        <v>285</v>
      </c>
      <c r="P4" s="373" t="s">
        <v>286</v>
      </c>
      <c r="Q4" s="373" t="s">
        <v>287</v>
      </c>
      <c r="R4" s="373" t="s">
        <v>288</v>
      </c>
      <c r="S4" s="374" t="s">
        <v>289</v>
      </c>
      <c r="V4" t="s">
        <v>290</v>
      </c>
      <c r="W4" s="235" t="s">
        <v>291</v>
      </c>
      <c r="X4" s="235" t="s">
        <v>292</v>
      </c>
      <c r="Y4" s="235" t="s">
        <v>293</v>
      </c>
      <c r="Z4" s="235" t="s">
        <v>294</v>
      </c>
      <c r="AA4" s="235" t="s">
        <v>295</v>
      </c>
      <c r="AB4" s="235" t="s">
        <v>296</v>
      </c>
    </row>
    <row r="5" spans="1:28" ht="27" customHeight="1" thickBot="1">
      <c r="A5" t="s">
        <v>297</v>
      </c>
      <c r="C5" s="368" t="s">
        <v>298</v>
      </c>
      <c r="E5" s="234" t="s">
        <v>299</v>
      </c>
      <c r="M5" s="368" t="s">
        <v>277</v>
      </c>
      <c r="O5" s="373" t="s">
        <v>300</v>
      </c>
      <c r="P5" s="373" t="s">
        <v>301</v>
      </c>
      <c r="Q5" s="373" t="s">
        <v>302</v>
      </c>
      <c r="R5" s="373" t="s">
        <v>303</v>
      </c>
      <c r="S5" s="374" t="s">
        <v>304</v>
      </c>
      <c r="V5" t="s">
        <v>305</v>
      </c>
      <c r="W5" s="235" t="s">
        <v>306</v>
      </c>
      <c r="X5" s="235" t="s">
        <v>307</v>
      </c>
      <c r="Y5" s="235" t="s">
        <v>308</v>
      </c>
      <c r="Z5" s="235" t="s">
        <v>309</v>
      </c>
      <c r="AA5" s="236" t="s">
        <v>310</v>
      </c>
      <c r="AB5" s="235" t="s">
        <v>311</v>
      </c>
    </row>
    <row r="6" spans="1:28" ht="27" customHeight="1" thickBot="1">
      <c r="A6" t="s">
        <v>312</v>
      </c>
      <c r="C6" s="368" t="s">
        <v>313</v>
      </c>
      <c r="E6" s="233" t="s">
        <v>251</v>
      </c>
      <c r="M6" s="368" t="s">
        <v>314</v>
      </c>
      <c r="O6" s="373" t="s">
        <v>315</v>
      </c>
      <c r="P6" s="373" t="s">
        <v>316</v>
      </c>
      <c r="Q6" s="373" t="s">
        <v>317</v>
      </c>
      <c r="R6" s="373" t="s">
        <v>318</v>
      </c>
      <c r="S6" s="374" t="s">
        <v>319</v>
      </c>
      <c r="V6" t="s">
        <v>320</v>
      </c>
      <c r="W6" s="235" t="s">
        <v>321</v>
      </c>
      <c r="X6" s="235" t="s">
        <v>322</v>
      </c>
      <c r="Y6" s="235" t="s">
        <v>323</v>
      </c>
      <c r="Z6" s="235" t="s">
        <v>324</v>
      </c>
      <c r="AA6" s="236" t="s">
        <v>325</v>
      </c>
      <c r="AB6" s="236" t="s">
        <v>289</v>
      </c>
    </row>
    <row r="7" spans="1:28" ht="27" customHeight="1" thickBot="1">
      <c r="A7" t="s">
        <v>326</v>
      </c>
      <c r="C7" s="368" t="s">
        <v>327</v>
      </c>
      <c r="M7" s="368" t="s">
        <v>328</v>
      </c>
      <c r="O7" s="373" t="s">
        <v>329</v>
      </c>
      <c r="P7" s="374" t="s">
        <v>306</v>
      </c>
      <c r="Q7" s="374" t="s">
        <v>292</v>
      </c>
      <c r="R7" s="373" t="s">
        <v>330</v>
      </c>
      <c r="S7" s="374" t="s">
        <v>331</v>
      </c>
      <c r="V7" t="s">
        <v>332</v>
      </c>
      <c r="W7" s="235" t="s">
        <v>333</v>
      </c>
      <c r="X7" s="235" t="s">
        <v>334</v>
      </c>
      <c r="Y7" s="240"/>
      <c r="Z7" s="235" t="s">
        <v>335</v>
      </c>
      <c r="AA7" s="236" t="s">
        <v>336</v>
      </c>
      <c r="AB7" s="235" t="s">
        <v>337</v>
      </c>
    </row>
    <row r="8" spans="1:28" ht="27" customHeight="1" thickBot="1">
      <c r="A8" t="s">
        <v>338</v>
      </c>
      <c r="C8" s="368" t="s">
        <v>339</v>
      </c>
      <c r="M8" s="368" t="s">
        <v>279</v>
      </c>
      <c r="O8" s="373" t="s">
        <v>340</v>
      </c>
      <c r="P8" s="374" t="s">
        <v>341</v>
      </c>
      <c r="Q8" s="374" t="s">
        <v>342</v>
      </c>
      <c r="R8" s="373" t="s">
        <v>343</v>
      </c>
      <c r="S8" s="374" t="s">
        <v>344</v>
      </c>
      <c r="W8" s="235" t="s">
        <v>345</v>
      </c>
      <c r="X8" s="235" t="s">
        <v>346</v>
      </c>
      <c r="Y8" s="240"/>
      <c r="Z8" s="235" t="s">
        <v>347</v>
      </c>
      <c r="AA8" s="236" t="s">
        <v>348</v>
      </c>
      <c r="AB8" s="236" t="s">
        <v>304</v>
      </c>
    </row>
    <row r="9" spans="1:28" ht="39.75" customHeight="1" thickBot="1">
      <c r="C9" s="368" t="s">
        <v>349</v>
      </c>
      <c r="M9" s="368" t="s">
        <v>350</v>
      </c>
      <c r="O9" s="373" t="s">
        <v>351</v>
      </c>
      <c r="P9" s="374" t="s">
        <v>276</v>
      </c>
      <c r="Q9" s="374" t="s">
        <v>352</v>
      </c>
      <c r="R9" s="373" t="s">
        <v>353</v>
      </c>
      <c r="S9" s="374" t="s">
        <v>354</v>
      </c>
      <c r="W9" s="235" t="s">
        <v>355</v>
      </c>
      <c r="X9" s="235" t="s">
        <v>356</v>
      </c>
      <c r="Z9" s="235" t="s">
        <v>357</v>
      </c>
      <c r="AA9" s="236" t="s">
        <v>358</v>
      </c>
      <c r="AB9" s="235" t="s">
        <v>359</v>
      </c>
    </row>
    <row r="10" spans="1:28" ht="27" customHeight="1" thickBot="1">
      <c r="C10" s="368" t="s">
        <v>360</v>
      </c>
      <c r="M10" s="368" t="s">
        <v>306</v>
      </c>
      <c r="O10" s="373" t="s">
        <v>361</v>
      </c>
      <c r="P10" s="374" t="s">
        <v>345</v>
      </c>
      <c r="Q10" s="374" t="s">
        <v>362</v>
      </c>
      <c r="R10" s="373" t="s">
        <v>363</v>
      </c>
      <c r="S10" s="374" t="s">
        <v>364</v>
      </c>
      <c r="W10" s="235" t="s">
        <v>365</v>
      </c>
      <c r="X10" s="235" t="s">
        <v>366</v>
      </c>
      <c r="Z10" s="235" t="s">
        <v>367</v>
      </c>
      <c r="AA10" s="236" t="s">
        <v>368</v>
      </c>
      <c r="AB10" s="235" t="s">
        <v>369</v>
      </c>
    </row>
    <row r="11" spans="1:28" ht="27" customHeight="1" thickBot="1">
      <c r="C11" s="368" t="s">
        <v>370</v>
      </c>
      <c r="G11" s="233"/>
      <c r="M11" s="368" t="s">
        <v>371</v>
      </c>
      <c r="O11" s="373" t="s">
        <v>372</v>
      </c>
      <c r="P11" s="374" t="s">
        <v>373</v>
      </c>
      <c r="Q11" s="374" t="s">
        <v>374</v>
      </c>
      <c r="R11" s="373" t="s">
        <v>375</v>
      </c>
      <c r="S11" s="374" t="s">
        <v>376</v>
      </c>
      <c r="W11" s="235" t="s">
        <v>373</v>
      </c>
      <c r="X11" s="235" t="s">
        <v>377</v>
      </c>
      <c r="Z11" s="235" t="s">
        <v>378</v>
      </c>
      <c r="AA11" s="235" t="s">
        <v>290</v>
      </c>
      <c r="AB11" s="236" t="s">
        <v>319</v>
      </c>
    </row>
    <row r="12" spans="1:28" ht="27" customHeight="1" thickBot="1">
      <c r="C12" s="368" t="s">
        <v>379</v>
      </c>
      <c r="M12" s="368" t="s">
        <v>380</v>
      </c>
      <c r="O12" s="373" t="s">
        <v>381</v>
      </c>
      <c r="P12" s="374" t="s">
        <v>382</v>
      </c>
      <c r="Q12" s="374" t="s">
        <v>383</v>
      </c>
      <c r="R12" s="373" t="s">
        <v>384</v>
      </c>
      <c r="S12" s="374" t="s">
        <v>385</v>
      </c>
      <c r="W12" s="235" t="s">
        <v>386</v>
      </c>
      <c r="X12" s="235" t="s">
        <v>387</v>
      </c>
      <c r="Y12" s="241"/>
      <c r="Z12" s="236" t="s">
        <v>388</v>
      </c>
      <c r="AA12" s="235" t="s">
        <v>389</v>
      </c>
      <c r="AB12" s="236" t="s">
        <v>331</v>
      </c>
    </row>
    <row r="13" spans="1:28" ht="39.75" customHeight="1" thickBot="1">
      <c r="C13" s="368" t="s">
        <v>390</v>
      </c>
      <c r="M13" s="368" t="s">
        <v>391</v>
      </c>
      <c r="O13" s="373" t="s">
        <v>392</v>
      </c>
      <c r="P13" s="374" t="s">
        <v>393</v>
      </c>
      <c r="R13" s="373" t="s">
        <v>394</v>
      </c>
      <c r="S13" s="374" t="s">
        <v>395</v>
      </c>
      <c r="W13" s="235" t="s">
        <v>396</v>
      </c>
      <c r="X13" s="235" t="s">
        <v>374</v>
      </c>
      <c r="Z13" s="236" t="s">
        <v>397</v>
      </c>
      <c r="AA13" s="235" t="s">
        <v>398</v>
      </c>
      <c r="AB13" s="236" t="s">
        <v>344</v>
      </c>
    </row>
    <row r="14" spans="1:28" ht="39.75" customHeight="1" thickBot="1">
      <c r="C14" s="368" t="s">
        <v>399</v>
      </c>
      <c r="M14" s="368" t="s">
        <v>400</v>
      </c>
      <c r="O14" s="373" t="s">
        <v>401</v>
      </c>
      <c r="P14" s="378" t="s">
        <v>325</v>
      </c>
      <c r="R14" s="373" t="s">
        <v>402</v>
      </c>
      <c r="S14" s="374" t="s">
        <v>403</v>
      </c>
      <c r="W14" s="235" t="s">
        <v>404</v>
      </c>
      <c r="X14" s="235" t="s">
        <v>405</v>
      </c>
      <c r="Z14" s="236" t="s">
        <v>406</v>
      </c>
      <c r="AA14" s="235" t="s">
        <v>407</v>
      </c>
      <c r="AB14" s="235" t="s">
        <v>408</v>
      </c>
    </row>
    <row r="15" spans="1:28" ht="39.75" customHeight="1" thickBot="1">
      <c r="C15" s="368" t="s">
        <v>409</v>
      </c>
      <c r="M15" s="368" t="s">
        <v>410</v>
      </c>
      <c r="O15" s="373" t="s">
        <v>327</v>
      </c>
      <c r="P15" s="378" t="s">
        <v>358</v>
      </c>
      <c r="R15" s="373" t="s">
        <v>411</v>
      </c>
      <c r="S15" s="374" t="s">
        <v>412</v>
      </c>
      <c r="W15" s="235" t="s">
        <v>413</v>
      </c>
      <c r="X15" s="235" t="s">
        <v>414</v>
      </c>
      <c r="Z15" s="235" t="s">
        <v>415</v>
      </c>
      <c r="AA15" s="235" t="s">
        <v>416</v>
      </c>
      <c r="AB15" s="236" t="s">
        <v>354</v>
      </c>
    </row>
    <row r="16" spans="1:28" ht="27" customHeight="1" thickBot="1">
      <c r="C16" s="368" t="s">
        <v>417</v>
      </c>
      <c r="M16" s="368" t="s">
        <v>337</v>
      </c>
      <c r="O16" s="373" t="s">
        <v>418</v>
      </c>
      <c r="P16" s="378" t="s">
        <v>419</v>
      </c>
      <c r="R16" s="373" t="s">
        <v>420</v>
      </c>
      <c r="S16" s="374" t="s">
        <v>421</v>
      </c>
      <c r="W16" s="235" t="s">
        <v>422</v>
      </c>
      <c r="X16" s="235" t="s">
        <v>423</v>
      </c>
      <c r="AA16" s="236" t="s">
        <v>424</v>
      </c>
      <c r="AB16" s="236" t="s">
        <v>425</v>
      </c>
    </row>
    <row r="17" spans="3:28" ht="27" customHeight="1" thickBot="1">
      <c r="C17" s="368" t="s">
        <v>417</v>
      </c>
      <c r="M17" s="368" t="s">
        <v>426</v>
      </c>
      <c r="O17" s="373" t="s">
        <v>427</v>
      </c>
      <c r="R17" s="373" t="s">
        <v>428</v>
      </c>
      <c r="S17" s="374" t="s">
        <v>425</v>
      </c>
      <c r="W17" s="235" t="s">
        <v>429</v>
      </c>
      <c r="X17" s="235" t="s">
        <v>352</v>
      </c>
      <c r="AA17" s="236" t="s">
        <v>430</v>
      </c>
      <c r="AB17" s="235" t="s">
        <v>431</v>
      </c>
    </row>
    <row r="18" spans="3:28" ht="15.75" customHeight="1" thickBot="1">
      <c r="C18" s="368" t="s">
        <v>432</v>
      </c>
      <c r="M18" s="368" t="s">
        <v>433</v>
      </c>
      <c r="O18" s="373" t="s">
        <v>434</v>
      </c>
      <c r="R18" s="373" t="s">
        <v>435</v>
      </c>
      <c r="S18" s="374" t="s">
        <v>436</v>
      </c>
      <c r="W18" s="235" t="s">
        <v>437</v>
      </c>
      <c r="X18" s="235" t="s">
        <v>438</v>
      </c>
      <c r="AA18" s="236" t="s">
        <v>439</v>
      </c>
      <c r="AB18" s="235" t="s">
        <v>440</v>
      </c>
    </row>
    <row r="19" spans="3:28" ht="26.25" customHeight="1" thickBot="1">
      <c r="C19" s="368" t="s">
        <v>306</v>
      </c>
      <c r="M19" s="368" t="s">
        <v>441</v>
      </c>
      <c r="O19" s="373" t="s">
        <v>442</v>
      </c>
      <c r="R19" s="373" t="s">
        <v>443</v>
      </c>
      <c r="W19" s="235" t="s">
        <v>444</v>
      </c>
      <c r="X19" s="235" t="s">
        <v>445</v>
      </c>
      <c r="AA19" s="236" t="s">
        <v>446</v>
      </c>
      <c r="AB19" s="236" t="s">
        <v>447</v>
      </c>
    </row>
    <row r="20" spans="3:28" ht="15.75" customHeight="1" thickBot="1">
      <c r="C20" s="368" t="s">
        <v>448</v>
      </c>
      <c r="M20" s="368" t="s">
        <v>449</v>
      </c>
      <c r="O20" s="373" t="s">
        <v>450</v>
      </c>
      <c r="R20" s="373" t="s">
        <v>451</v>
      </c>
      <c r="W20" s="235" t="s">
        <v>341</v>
      </c>
      <c r="X20" s="235" t="s">
        <v>452</v>
      </c>
      <c r="AA20" s="235" t="s">
        <v>453</v>
      </c>
      <c r="AB20" s="236" t="s">
        <v>454</v>
      </c>
    </row>
    <row r="21" spans="3:28" ht="15.75" customHeight="1" thickBot="1">
      <c r="C21" s="368" t="s">
        <v>455</v>
      </c>
      <c r="M21" s="368" t="s">
        <v>456</v>
      </c>
      <c r="O21" s="373" t="s">
        <v>457</v>
      </c>
      <c r="R21" s="373" t="s">
        <v>458</v>
      </c>
      <c r="W21" s="235" t="s">
        <v>459</v>
      </c>
      <c r="X21" s="235" t="s">
        <v>460</v>
      </c>
      <c r="AA21" s="235" t="s">
        <v>461</v>
      </c>
      <c r="AB21" s="236" t="s">
        <v>364</v>
      </c>
    </row>
    <row r="22" spans="3:28" ht="15.75" customHeight="1" thickBot="1">
      <c r="C22" s="368" t="s">
        <v>462</v>
      </c>
      <c r="M22" s="368" t="s">
        <v>463</v>
      </c>
      <c r="O22" s="373" t="s">
        <v>464</v>
      </c>
      <c r="R22" s="373" t="s">
        <v>465</v>
      </c>
      <c r="W22" s="235" t="s">
        <v>466</v>
      </c>
      <c r="X22" s="235" t="s">
        <v>467</v>
      </c>
      <c r="AA22" s="235" t="s">
        <v>468</v>
      </c>
      <c r="AB22" s="236" t="s">
        <v>469</v>
      </c>
    </row>
    <row r="23" spans="3:28" ht="15.75" customHeight="1" thickBot="1">
      <c r="C23" s="368" t="s">
        <v>470</v>
      </c>
      <c r="M23" s="368" t="s">
        <v>293</v>
      </c>
      <c r="O23" s="373" t="s">
        <v>471</v>
      </c>
      <c r="R23" s="373" t="s">
        <v>472</v>
      </c>
      <c r="W23" s="235" t="s">
        <v>473</v>
      </c>
      <c r="X23" s="235" t="s">
        <v>474</v>
      </c>
      <c r="AA23" s="236" t="s">
        <v>419</v>
      </c>
      <c r="AB23" s="235" t="s">
        <v>475</v>
      </c>
    </row>
    <row r="24" spans="3:28" ht="15.75" customHeight="1" thickBot="1">
      <c r="C24" s="368" t="s">
        <v>476</v>
      </c>
      <c r="M24" s="368" t="s">
        <v>477</v>
      </c>
      <c r="O24" s="373" t="s">
        <v>478</v>
      </c>
      <c r="R24" s="373" t="s">
        <v>479</v>
      </c>
      <c r="W24" s="235" t="s">
        <v>393</v>
      </c>
      <c r="X24" s="235" t="s">
        <v>383</v>
      </c>
      <c r="AA24" s="236" t="s">
        <v>480</v>
      </c>
      <c r="AB24" s="235" t="s">
        <v>481</v>
      </c>
    </row>
    <row r="25" spans="3:28" ht="15.75" customHeight="1" thickBot="1">
      <c r="C25" s="368" t="s">
        <v>482</v>
      </c>
      <c r="M25" s="368" t="s">
        <v>483</v>
      </c>
      <c r="O25" s="373" t="s">
        <v>484</v>
      </c>
      <c r="R25" s="373" t="s">
        <v>485</v>
      </c>
      <c r="W25" s="235" t="s">
        <v>382</v>
      </c>
      <c r="X25" s="235" t="s">
        <v>486</v>
      </c>
      <c r="Y25" s="241"/>
      <c r="AA25" s="236" t="s">
        <v>487</v>
      </c>
      <c r="AB25" s="235" t="s">
        <v>488</v>
      </c>
    </row>
    <row r="26" spans="3:28" ht="27" customHeight="1" thickBot="1">
      <c r="C26" s="368" t="s">
        <v>489</v>
      </c>
      <c r="M26" s="368" t="s">
        <v>359</v>
      </c>
      <c r="O26" s="373" t="s">
        <v>490</v>
      </c>
      <c r="R26" s="373" t="s">
        <v>491</v>
      </c>
      <c r="W26" s="235" t="s">
        <v>492</v>
      </c>
      <c r="X26" s="235" t="s">
        <v>493</v>
      </c>
      <c r="AA26" s="236" t="s">
        <v>494</v>
      </c>
      <c r="AB26" s="235" t="s">
        <v>495</v>
      </c>
    </row>
    <row r="27" spans="3:28" ht="27" customHeight="1" thickBot="1">
      <c r="C27" s="368" t="s">
        <v>496</v>
      </c>
      <c r="M27" s="368" t="s">
        <v>497</v>
      </c>
      <c r="O27" s="374" t="s">
        <v>275</v>
      </c>
      <c r="R27" s="373" t="s">
        <v>498</v>
      </c>
      <c r="W27" s="235" t="s">
        <v>499</v>
      </c>
      <c r="X27" s="235" t="s">
        <v>500</v>
      </c>
      <c r="AA27" s="235" t="s">
        <v>501</v>
      </c>
      <c r="AB27" s="236" t="s">
        <v>376</v>
      </c>
    </row>
    <row r="28" spans="3:28" ht="15.75" customHeight="1" thickBot="1">
      <c r="C28" s="368" t="s">
        <v>502</v>
      </c>
      <c r="M28" s="368" t="s">
        <v>503</v>
      </c>
      <c r="R28" s="373" t="s">
        <v>504</v>
      </c>
      <c r="X28" s="235" t="s">
        <v>505</v>
      </c>
      <c r="AA28" s="235" t="s">
        <v>506</v>
      </c>
      <c r="AB28" s="236" t="s">
        <v>385</v>
      </c>
    </row>
    <row r="29" spans="3:28" ht="26.25" customHeight="1" thickBot="1">
      <c r="C29" s="368" t="s">
        <v>507</v>
      </c>
      <c r="M29" s="368" t="s">
        <v>334</v>
      </c>
      <c r="R29" s="373" t="s">
        <v>508</v>
      </c>
      <c r="X29" s="235" t="s">
        <v>509</v>
      </c>
      <c r="AA29" s="236" t="s">
        <v>510</v>
      </c>
      <c r="AB29" s="236" t="s">
        <v>395</v>
      </c>
    </row>
    <row r="30" spans="3:28" ht="26.25" customHeight="1" thickBot="1">
      <c r="C30" s="368" t="s">
        <v>511</v>
      </c>
      <c r="M30" s="368" t="s">
        <v>512</v>
      </c>
      <c r="R30" s="373" t="s">
        <v>513</v>
      </c>
      <c r="X30" s="235" t="s">
        <v>514</v>
      </c>
      <c r="AB30" s="236" t="s">
        <v>403</v>
      </c>
    </row>
    <row r="31" spans="3:28" ht="27" customHeight="1" thickBot="1">
      <c r="C31" s="368" t="s">
        <v>515</v>
      </c>
      <c r="M31" s="368" t="s">
        <v>516</v>
      </c>
      <c r="R31" s="373" t="s">
        <v>517</v>
      </c>
      <c r="X31" s="235" t="s">
        <v>518</v>
      </c>
      <c r="AB31" s="235" t="s">
        <v>519</v>
      </c>
    </row>
    <row r="32" spans="3:28" ht="15.75" customHeight="1" thickBot="1">
      <c r="C32" s="368" t="s">
        <v>520</v>
      </c>
      <c r="M32" s="368" t="s">
        <v>521</v>
      </c>
      <c r="R32" s="373" t="s">
        <v>522</v>
      </c>
      <c r="AB32" s="235" t="s">
        <v>523</v>
      </c>
    </row>
    <row r="33" spans="3:28" ht="15.75" customHeight="1" thickBot="1">
      <c r="C33" s="368" t="s">
        <v>524</v>
      </c>
      <c r="M33" s="368" t="s">
        <v>346</v>
      </c>
      <c r="R33" s="373" t="s">
        <v>525</v>
      </c>
      <c r="AB33" s="235" t="s">
        <v>526</v>
      </c>
    </row>
    <row r="34" spans="3:28" ht="15.75" customHeight="1" thickBot="1">
      <c r="C34" s="368" t="s">
        <v>527</v>
      </c>
      <c r="M34" s="368" t="s">
        <v>528</v>
      </c>
      <c r="R34" s="373" t="s">
        <v>529</v>
      </c>
      <c r="AB34" s="235" t="s">
        <v>530</v>
      </c>
    </row>
    <row r="35" spans="3:28" ht="15.75" customHeight="1" thickBot="1">
      <c r="C35" s="368" t="s">
        <v>531</v>
      </c>
      <c r="M35" s="368" t="s">
        <v>532</v>
      </c>
      <c r="R35" s="373" t="s">
        <v>533</v>
      </c>
      <c r="AB35" s="235" t="s">
        <v>534</v>
      </c>
    </row>
    <row r="36" spans="3:28" ht="15.75" customHeight="1" thickBot="1">
      <c r="C36" s="368" t="s">
        <v>535</v>
      </c>
      <c r="M36" s="368" t="s">
        <v>536</v>
      </c>
      <c r="R36" s="373" t="s">
        <v>537</v>
      </c>
      <c r="AB36" s="235" t="s">
        <v>538</v>
      </c>
    </row>
    <row r="37" spans="3:28" ht="15.75" customHeight="1" thickBot="1">
      <c r="C37" s="368" t="s">
        <v>539</v>
      </c>
      <c r="M37" s="368" t="s">
        <v>540</v>
      </c>
      <c r="R37" s="373" t="s">
        <v>527</v>
      </c>
      <c r="AB37" s="235" t="s">
        <v>541</v>
      </c>
    </row>
    <row r="38" spans="3:28" ht="15.75" customHeight="1" thickBot="1">
      <c r="C38" s="368" t="s">
        <v>542</v>
      </c>
      <c r="M38" s="368" t="s">
        <v>543</v>
      </c>
      <c r="R38" s="373" t="s">
        <v>544</v>
      </c>
      <c r="AB38" s="235" t="s">
        <v>545</v>
      </c>
    </row>
    <row r="39" spans="3:28" ht="15.75" customHeight="1" thickBot="1">
      <c r="C39" s="368" t="s">
        <v>546</v>
      </c>
      <c r="M39" s="368" t="s">
        <v>547</v>
      </c>
      <c r="R39" s="373" t="s">
        <v>548</v>
      </c>
      <c r="AB39" s="235" t="s">
        <v>549</v>
      </c>
    </row>
    <row r="40" spans="3:28" ht="15.75" customHeight="1" thickBot="1">
      <c r="C40" s="368" t="s">
        <v>443</v>
      </c>
      <c r="M40" s="368" t="s">
        <v>310</v>
      </c>
      <c r="R40" s="373" t="s">
        <v>550</v>
      </c>
      <c r="AB40" s="235" t="s">
        <v>551</v>
      </c>
    </row>
    <row r="41" spans="3:28" ht="26.25" customHeight="1" thickBot="1">
      <c r="C41" s="368" t="s">
        <v>552</v>
      </c>
      <c r="M41" s="368" t="s">
        <v>553</v>
      </c>
      <c r="R41" s="373" t="s">
        <v>554</v>
      </c>
      <c r="AB41" s="236" t="s">
        <v>412</v>
      </c>
    </row>
    <row r="42" spans="3:28" ht="15.75" customHeight="1" thickBot="1">
      <c r="C42" s="368" t="s">
        <v>418</v>
      </c>
      <c r="M42" s="368" t="s">
        <v>555</v>
      </c>
      <c r="R42" s="373" t="s">
        <v>313</v>
      </c>
      <c r="AB42" s="236" t="s">
        <v>436</v>
      </c>
    </row>
    <row r="43" spans="3:28" ht="27" customHeight="1" thickBot="1">
      <c r="C43" s="368" t="s">
        <v>556</v>
      </c>
      <c r="M43" s="368" t="s">
        <v>355</v>
      </c>
      <c r="R43" s="373" t="s">
        <v>399</v>
      </c>
      <c r="AB43" s="236" t="s">
        <v>421</v>
      </c>
    </row>
    <row r="44" spans="3:28" ht="15.75" customHeight="1" thickBot="1">
      <c r="C44" s="368" t="s">
        <v>557</v>
      </c>
      <c r="M44" s="368" t="s">
        <v>278</v>
      </c>
      <c r="R44" s="373" t="s">
        <v>558</v>
      </c>
      <c r="AB44" s="235" t="s">
        <v>559</v>
      </c>
    </row>
    <row r="45" spans="3:28" ht="15.75" customHeight="1" thickBot="1">
      <c r="C45" s="368" t="s">
        <v>427</v>
      </c>
      <c r="M45" s="368" t="s">
        <v>560</v>
      </c>
      <c r="R45" s="373" t="s">
        <v>561</v>
      </c>
    </row>
    <row r="46" spans="3:28" ht="15.75" customHeight="1" thickBot="1">
      <c r="C46" s="368" t="s">
        <v>434</v>
      </c>
      <c r="M46" s="368" t="s">
        <v>562</v>
      </c>
      <c r="R46" s="373" t="s">
        <v>563</v>
      </c>
    </row>
    <row r="47" spans="3:28" ht="30.75" customHeight="1" thickBot="1">
      <c r="C47" s="368" t="s">
        <v>564</v>
      </c>
      <c r="M47" s="368" t="s">
        <v>271</v>
      </c>
      <c r="R47" s="373" t="s">
        <v>565</v>
      </c>
    </row>
    <row r="48" spans="3:28" ht="15.75" customHeight="1" thickBot="1">
      <c r="C48" s="368" t="s">
        <v>566</v>
      </c>
      <c r="M48" s="368" t="s">
        <v>567</v>
      </c>
      <c r="R48" s="373" t="s">
        <v>568</v>
      </c>
    </row>
    <row r="49" spans="3:18" ht="30.75" customHeight="1" thickBot="1">
      <c r="C49" s="368" t="s">
        <v>569</v>
      </c>
      <c r="M49" s="368" t="s">
        <v>365</v>
      </c>
      <c r="R49" s="373" t="s">
        <v>570</v>
      </c>
    </row>
    <row r="50" spans="3:18" ht="15.75" customHeight="1" thickBot="1">
      <c r="C50" s="368" t="s">
        <v>571</v>
      </c>
      <c r="M50" s="368" t="s">
        <v>572</v>
      </c>
      <c r="R50" s="373" t="s">
        <v>573</v>
      </c>
    </row>
    <row r="51" spans="3:18" ht="15.75" customHeight="1" thickBot="1">
      <c r="C51" s="368" t="s">
        <v>574</v>
      </c>
      <c r="M51" s="368" t="s">
        <v>575</v>
      </c>
      <c r="R51" s="373" t="s">
        <v>576</v>
      </c>
    </row>
    <row r="52" spans="3:18" ht="15.75" customHeight="1" thickBot="1">
      <c r="C52" s="368" t="s">
        <v>442</v>
      </c>
      <c r="M52" s="368" t="s">
        <v>366</v>
      </c>
      <c r="R52" s="373" t="s">
        <v>577</v>
      </c>
    </row>
    <row r="53" spans="3:18" ht="15.75" customHeight="1" thickBot="1">
      <c r="C53" s="368" t="s">
        <v>344</v>
      </c>
      <c r="M53" s="368" t="s">
        <v>578</v>
      </c>
      <c r="R53" s="373" t="s">
        <v>579</v>
      </c>
    </row>
    <row r="54" spans="3:18" ht="15.75" customHeight="1" thickBot="1">
      <c r="C54" s="368" t="s">
        <v>580</v>
      </c>
      <c r="M54" s="368" t="s">
        <v>308</v>
      </c>
      <c r="R54" s="373" t="s">
        <v>581</v>
      </c>
    </row>
    <row r="55" spans="3:18" ht="27" customHeight="1" thickBot="1">
      <c r="C55" s="368" t="s">
        <v>582</v>
      </c>
      <c r="M55" s="368" t="s">
        <v>583</v>
      </c>
      <c r="R55" s="374" t="s">
        <v>323</v>
      </c>
    </row>
    <row r="56" spans="3:18" ht="15.75" customHeight="1" thickBot="1">
      <c r="C56" s="368" t="s">
        <v>273</v>
      </c>
      <c r="M56" s="368" t="s">
        <v>584</v>
      </c>
    </row>
    <row r="57" spans="3:18" ht="15.75" customHeight="1" thickBot="1">
      <c r="C57" s="368" t="s">
        <v>585</v>
      </c>
      <c r="M57" s="368" t="s">
        <v>586</v>
      </c>
    </row>
    <row r="58" spans="3:18" ht="15.75" customHeight="1" thickBot="1">
      <c r="C58" s="368" t="s">
        <v>288</v>
      </c>
      <c r="M58" s="368" t="s">
        <v>587</v>
      </c>
    </row>
    <row r="59" spans="3:18" ht="15.75" customHeight="1" thickBot="1">
      <c r="C59" s="368" t="s">
        <v>588</v>
      </c>
      <c r="M59" s="368" t="s">
        <v>377</v>
      </c>
    </row>
    <row r="60" spans="3:18" ht="15.75" customHeight="1" thickBot="1">
      <c r="C60" s="368" t="s">
        <v>544</v>
      </c>
      <c r="M60" s="368" t="s">
        <v>336</v>
      </c>
    </row>
    <row r="61" spans="3:18" ht="15.75" customHeight="1" thickBot="1">
      <c r="C61" s="368" t="s">
        <v>589</v>
      </c>
      <c r="M61" s="368" t="s">
        <v>387</v>
      </c>
    </row>
    <row r="62" spans="3:18" ht="15.75" customHeight="1" thickBot="1">
      <c r="C62" s="368" t="s">
        <v>590</v>
      </c>
      <c r="M62" s="368" t="s">
        <v>348</v>
      </c>
    </row>
    <row r="63" spans="3:18" ht="15.75" customHeight="1" thickBot="1">
      <c r="C63" s="368" t="s">
        <v>591</v>
      </c>
      <c r="M63" s="368" t="s">
        <v>592</v>
      </c>
    </row>
    <row r="64" spans="3:18" ht="30.75" customHeight="1" thickBot="1">
      <c r="C64" s="368" t="s">
        <v>271</v>
      </c>
      <c r="M64" s="368" t="s">
        <v>309</v>
      </c>
    </row>
    <row r="65" spans="3:13" ht="15.75" customHeight="1" thickBot="1">
      <c r="C65" s="368" t="s">
        <v>567</v>
      </c>
      <c r="M65" s="368" t="s">
        <v>593</v>
      </c>
    </row>
    <row r="66" spans="3:13" ht="30.75" customHeight="1" thickBot="1">
      <c r="C66" s="368" t="s">
        <v>365</v>
      </c>
      <c r="M66" s="368" t="s">
        <v>324</v>
      </c>
    </row>
    <row r="67" spans="3:13" ht="15.75" customHeight="1" thickBot="1">
      <c r="C67" s="368" t="s">
        <v>363</v>
      </c>
      <c r="M67" s="368" t="s">
        <v>335</v>
      </c>
    </row>
    <row r="68" spans="3:13" ht="15.75" customHeight="1" thickBot="1">
      <c r="C68" s="368" t="s">
        <v>594</v>
      </c>
      <c r="M68" s="368" t="s">
        <v>595</v>
      </c>
    </row>
    <row r="69" spans="3:13" ht="15.75" customHeight="1" thickBot="1">
      <c r="C69" s="368" t="s">
        <v>596</v>
      </c>
      <c r="M69" s="368" t="s">
        <v>597</v>
      </c>
    </row>
    <row r="70" spans="3:13" ht="15.75" customHeight="1" thickBot="1">
      <c r="C70" s="368" t="s">
        <v>598</v>
      </c>
      <c r="M70" s="368" t="s">
        <v>599</v>
      </c>
    </row>
    <row r="71" spans="3:13" ht="15.75" customHeight="1" thickBot="1">
      <c r="C71" s="368" t="s">
        <v>451</v>
      </c>
      <c r="M71" s="368" t="s">
        <v>600</v>
      </c>
    </row>
    <row r="72" spans="3:13" ht="15.75" customHeight="1" thickBot="1">
      <c r="C72" s="368" t="s">
        <v>558</v>
      </c>
      <c r="M72" s="368" t="s">
        <v>440</v>
      </c>
    </row>
    <row r="73" spans="3:13" ht="15.75" customHeight="1" thickBot="1">
      <c r="C73" s="368" t="s">
        <v>458</v>
      </c>
      <c r="M73" s="368" t="s">
        <v>358</v>
      </c>
    </row>
    <row r="74" spans="3:13" ht="15.75" customHeight="1" thickBot="1">
      <c r="C74" s="368" t="s">
        <v>325</v>
      </c>
      <c r="M74" s="368" t="s">
        <v>601</v>
      </c>
    </row>
    <row r="75" spans="3:13" ht="15.75" customHeight="1" thickBot="1">
      <c r="C75" s="368" t="s">
        <v>602</v>
      </c>
      <c r="M75" s="368" t="s">
        <v>603</v>
      </c>
    </row>
    <row r="76" spans="3:13" ht="15.75" customHeight="1" thickBot="1">
      <c r="C76" s="368" t="s">
        <v>561</v>
      </c>
      <c r="M76" s="368" t="s">
        <v>604</v>
      </c>
    </row>
    <row r="77" spans="3:13" ht="15.75" customHeight="1" thickBot="1">
      <c r="C77" s="368" t="s">
        <v>605</v>
      </c>
      <c r="M77" s="368" t="s">
        <v>454</v>
      </c>
    </row>
    <row r="78" spans="3:13" ht="15.75" customHeight="1" thickBot="1">
      <c r="C78" s="368" t="s">
        <v>375</v>
      </c>
      <c r="M78" s="368" t="s">
        <v>316</v>
      </c>
    </row>
    <row r="79" spans="3:13" ht="15.75" customHeight="1" thickBot="1">
      <c r="C79" s="368" t="s">
        <v>384</v>
      </c>
      <c r="M79" s="368" t="s">
        <v>368</v>
      </c>
    </row>
    <row r="80" spans="3:13" ht="15.75" customHeight="1" thickBot="1">
      <c r="C80" s="368" t="s">
        <v>525</v>
      </c>
      <c r="M80" s="368" t="s">
        <v>606</v>
      </c>
    </row>
    <row r="81" spans="3:13" ht="15.75" customHeight="1" thickBot="1">
      <c r="C81" s="368" t="s">
        <v>607</v>
      </c>
      <c r="M81" s="368" t="s">
        <v>608</v>
      </c>
    </row>
    <row r="82" spans="3:13" ht="15.75" customHeight="1" thickBot="1">
      <c r="C82" s="368" t="s">
        <v>609</v>
      </c>
      <c r="M82" s="368" t="s">
        <v>610</v>
      </c>
    </row>
    <row r="83" spans="3:13" ht="15.75" customHeight="1" thickBot="1">
      <c r="C83" s="368" t="s">
        <v>285</v>
      </c>
      <c r="M83" s="368" t="s">
        <v>611</v>
      </c>
    </row>
    <row r="84" spans="3:13" ht="15.75" customHeight="1" thickBot="1">
      <c r="C84" s="368" t="s">
        <v>612</v>
      </c>
      <c r="M84" s="368" t="s">
        <v>613</v>
      </c>
    </row>
    <row r="85" spans="3:13" ht="15.75" customHeight="1" thickBot="1">
      <c r="C85" s="368" t="s">
        <v>394</v>
      </c>
      <c r="M85" s="368" t="s">
        <v>405</v>
      </c>
    </row>
    <row r="86" spans="3:13" ht="15.75" customHeight="1" thickBot="1">
      <c r="C86" s="368" t="s">
        <v>614</v>
      </c>
      <c r="M86" s="368" t="s">
        <v>615</v>
      </c>
    </row>
    <row r="87" spans="3:13" ht="15.75" customHeight="1" thickBot="1">
      <c r="C87" s="368" t="s">
        <v>616</v>
      </c>
      <c r="M87" s="368" t="s">
        <v>617</v>
      </c>
    </row>
    <row r="88" spans="3:13" ht="15.75" customHeight="1" thickBot="1">
      <c r="C88" s="368" t="s">
        <v>303</v>
      </c>
      <c r="M88" s="368" t="s">
        <v>618</v>
      </c>
    </row>
    <row r="89" spans="3:13" ht="30.75" customHeight="1" thickBot="1">
      <c r="C89" s="368" t="s">
        <v>619</v>
      </c>
      <c r="M89" s="368" t="s">
        <v>347</v>
      </c>
    </row>
    <row r="90" spans="3:13" ht="15.75" customHeight="1" thickBot="1">
      <c r="C90" s="368" t="s">
        <v>620</v>
      </c>
      <c r="M90" s="368" t="s">
        <v>621</v>
      </c>
    </row>
    <row r="91" spans="3:13" ht="15.75" customHeight="1" thickBot="1">
      <c r="C91" s="368" t="s">
        <v>622</v>
      </c>
      <c r="M91" s="368" t="s">
        <v>623</v>
      </c>
    </row>
    <row r="92" spans="3:13" ht="15.75" customHeight="1" thickBot="1">
      <c r="C92" s="368" t="s">
        <v>624</v>
      </c>
      <c r="M92" s="368" t="s">
        <v>625</v>
      </c>
    </row>
    <row r="93" spans="3:13" ht="15.75" customHeight="1" thickBot="1">
      <c r="C93" s="368" t="s">
        <v>450</v>
      </c>
      <c r="M93" s="368" t="s">
        <v>626</v>
      </c>
    </row>
    <row r="94" spans="3:13" ht="15.75" customHeight="1" thickBot="1">
      <c r="C94" s="368" t="s">
        <v>627</v>
      </c>
      <c r="M94" s="368" t="s">
        <v>628</v>
      </c>
    </row>
    <row r="95" spans="3:13" ht="15.75" customHeight="1" thickBot="1">
      <c r="C95" s="368" t="s">
        <v>629</v>
      </c>
      <c r="M95" s="368" t="s">
        <v>630</v>
      </c>
    </row>
    <row r="96" spans="3:13" ht="15.75" customHeight="1" thickBot="1">
      <c r="C96" s="368" t="s">
        <v>631</v>
      </c>
      <c r="M96" s="368" t="s">
        <v>422</v>
      </c>
    </row>
    <row r="97" spans="3:13" ht="15.75" customHeight="1" thickBot="1">
      <c r="C97" s="368" t="s">
        <v>632</v>
      </c>
      <c r="M97" s="368" t="s">
        <v>633</v>
      </c>
    </row>
    <row r="98" spans="3:13" ht="15.75" customHeight="1" thickBot="1">
      <c r="C98" s="368" t="s">
        <v>634</v>
      </c>
      <c r="M98" s="368" t="s">
        <v>635</v>
      </c>
    </row>
    <row r="99" spans="3:13" ht="15.75" customHeight="1" thickBot="1">
      <c r="C99" s="368" t="s">
        <v>636</v>
      </c>
      <c r="M99" s="368" t="s">
        <v>290</v>
      </c>
    </row>
    <row r="100" spans="3:13" ht="15.75" customHeight="1" thickBot="1">
      <c r="C100" s="368" t="s">
        <v>637</v>
      </c>
      <c r="M100" s="368" t="s">
        <v>638</v>
      </c>
    </row>
    <row r="101" spans="3:13" ht="15.75" customHeight="1" thickBot="1">
      <c r="C101" s="368" t="s">
        <v>639</v>
      </c>
      <c r="M101" s="368" t="s">
        <v>640</v>
      </c>
    </row>
    <row r="102" spans="3:13" ht="15.75" customHeight="1" thickBot="1">
      <c r="C102" s="368" t="s">
        <v>411</v>
      </c>
      <c r="M102" s="368" t="s">
        <v>389</v>
      </c>
    </row>
    <row r="103" spans="3:13" ht="15.75" customHeight="1" thickBot="1">
      <c r="C103" s="368" t="s">
        <v>641</v>
      </c>
      <c r="M103" s="368" t="s">
        <v>642</v>
      </c>
    </row>
    <row r="104" spans="3:13" ht="15.75" customHeight="1" thickBot="1">
      <c r="C104" s="368" t="s">
        <v>643</v>
      </c>
      <c r="M104" s="368" t="s">
        <v>398</v>
      </c>
    </row>
    <row r="105" spans="3:13" ht="15.75" customHeight="1" thickBot="1">
      <c r="C105" s="368" t="s">
        <v>563</v>
      </c>
      <c r="M105" s="368" t="s">
        <v>398</v>
      </c>
    </row>
    <row r="106" spans="3:13" ht="15.75" customHeight="1" thickBot="1">
      <c r="C106" s="368" t="s">
        <v>644</v>
      </c>
      <c r="M106" s="368" t="s">
        <v>645</v>
      </c>
    </row>
    <row r="107" spans="3:13" ht="15.75" customHeight="1" thickBot="1">
      <c r="C107" s="368" t="s">
        <v>646</v>
      </c>
      <c r="M107" s="368" t="s">
        <v>647</v>
      </c>
    </row>
    <row r="108" spans="3:13" ht="15.75" customHeight="1" thickBot="1">
      <c r="C108" s="368" t="s">
        <v>457</v>
      </c>
      <c r="M108" s="368" t="s">
        <v>648</v>
      </c>
    </row>
    <row r="109" spans="3:13" ht="15.75" customHeight="1" thickBot="1">
      <c r="C109" s="368" t="s">
        <v>364</v>
      </c>
      <c r="M109" s="368" t="s">
        <v>649</v>
      </c>
    </row>
    <row r="110" spans="3:13" ht="15.75" customHeight="1" thickBot="1">
      <c r="C110" s="368" t="s">
        <v>650</v>
      </c>
      <c r="M110" s="368" t="s">
        <v>651</v>
      </c>
    </row>
    <row r="111" spans="3:13" ht="15.75" customHeight="1" thickBot="1">
      <c r="C111" s="368" t="s">
        <v>652</v>
      </c>
      <c r="M111" s="368" t="s">
        <v>653</v>
      </c>
    </row>
    <row r="112" spans="3:13" ht="15.75" customHeight="1" thickBot="1">
      <c r="C112" s="368" t="s">
        <v>472</v>
      </c>
      <c r="M112" s="368" t="s">
        <v>416</v>
      </c>
    </row>
    <row r="113" spans="3:13" ht="15.75" customHeight="1" thickBot="1">
      <c r="C113" s="368" t="s">
        <v>479</v>
      </c>
      <c r="M113" s="368" t="s">
        <v>654</v>
      </c>
    </row>
    <row r="114" spans="3:13" ht="30.75" customHeight="1" thickBot="1">
      <c r="C114" s="368" t="s">
        <v>655</v>
      </c>
      <c r="M114" s="368" t="s">
        <v>656</v>
      </c>
    </row>
    <row r="115" spans="3:13" ht="15.75" customHeight="1" thickBot="1">
      <c r="C115" s="368" t="s">
        <v>485</v>
      </c>
      <c r="M115" s="368" t="s">
        <v>424</v>
      </c>
    </row>
    <row r="116" spans="3:13" ht="15.75" customHeight="1" thickBot="1">
      <c r="C116" s="368" t="s">
        <v>657</v>
      </c>
      <c r="M116" s="368" t="s">
        <v>658</v>
      </c>
    </row>
    <row r="117" spans="3:13" ht="15.75" customHeight="1" thickBot="1">
      <c r="C117" s="368" t="s">
        <v>659</v>
      </c>
      <c r="M117" s="368" t="s">
        <v>658</v>
      </c>
    </row>
    <row r="118" spans="3:13" ht="15.75" customHeight="1" thickBot="1">
      <c r="C118" s="368" t="s">
        <v>660</v>
      </c>
      <c r="M118" s="368" t="s">
        <v>444</v>
      </c>
    </row>
    <row r="119" spans="3:13" ht="15.75" customHeight="1" thickBot="1">
      <c r="C119" s="368" t="s">
        <v>661</v>
      </c>
      <c r="M119" s="368" t="s">
        <v>662</v>
      </c>
    </row>
    <row r="120" spans="3:13" ht="15.75" customHeight="1" thickBot="1">
      <c r="C120" s="368" t="s">
        <v>464</v>
      </c>
      <c r="M120" s="368" t="s">
        <v>663</v>
      </c>
    </row>
    <row r="121" spans="3:13" ht="15.75" customHeight="1" thickBot="1">
      <c r="C121" s="368" t="s">
        <v>664</v>
      </c>
      <c r="M121" s="368" t="s">
        <v>665</v>
      </c>
    </row>
    <row r="122" spans="3:13" ht="15.75" customHeight="1" thickBot="1">
      <c r="C122" s="368" t="s">
        <v>666</v>
      </c>
      <c r="M122" s="368" t="s">
        <v>667</v>
      </c>
    </row>
    <row r="123" spans="3:13" ht="15.75" customHeight="1" thickBot="1">
      <c r="C123" s="368" t="s">
        <v>668</v>
      </c>
      <c r="M123" s="368" t="s">
        <v>438</v>
      </c>
    </row>
    <row r="124" spans="3:13" ht="15.75" customHeight="1" thickBot="1">
      <c r="C124" s="368" t="s">
        <v>669</v>
      </c>
      <c r="M124" s="368" t="s">
        <v>495</v>
      </c>
    </row>
    <row r="125" spans="3:13" ht="15.75" customHeight="1" thickBot="1">
      <c r="C125" s="368" t="s">
        <v>670</v>
      </c>
      <c r="M125" s="368" t="s">
        <v>671</v>
      </c>
    </row>
    <row r="126" spans="3:13" ht="15.75" customHeight="1" thickBot="1">
      <c r="C126" s="368" t="s">
        <v>529</v>
      </c>
      <c r="M126" s="368" t="s">
        <v>341</v>
      </c>
    </row>
    <row r="127" spans="3:13" ht="15.75" customHeight="1" thickBot="1">
      <c r="C127" s="368" t="s">
        <v>672</v>
      </c>
      <c r="M127" s="368" t="s">
        <v>673</v>
      </c>
    </row>
    <row r="128" spans="3:13" ht="15.75" customHeight="1" thickBot="1">
      <c r="C128" s="368" t="s">
        <v>491</v>
      </c>
      <c r="M128" s="368" t="s">
        <v>459</v>
      </c>
    </row>
    <row r="129" spans="3:13" ht="15.75" customHeight="1" thickBot="1">
      <c r="C129" s="368" t="s">
        <v>674</v>
      </c>
      <c r="M129" s="368" t="s">
        <v>675</v>
      </c>
    </row>
    <row r="130" spans="3:13" ht="15.75" customHeight="1" thickBot="1">
      <c r="C130" s="368" t="s">
        <v>676</v>
      </c>
      <c r="M130" s="368" t="s">
        <v>445</v>
      </c>
    </row>
    <row r="131" spans="3:13" ht="15.75" customHeight="1" thickBot="1">
      <c r="C131" s="368" t="s">
        <v>677</v>
      </c>
      <c r="M131" s="368" t="s">
        <v>678</v>
      </c>
    </row>
    <row r="132" spans="3:13" ht="15.75" customHeight="1" thickBot="1">
      <c r="C132" s="368" t="s">
        <v>679</v>
      </c>
      <c r="M132" s="368" t="s">
        <v>680</v>
      </c>
    </row>
    <row r="133" spans="3:13" ht="15.75" customHeight="1" thickBot="1">
      <c r="C133" s="368" t="s">
        <v>681</v>
      </c>
      <c r="M133" s="368" t="s">
        <v>682</v>
      </c>
    </row>
    <row r="134" spans="3:13" ht="15.75" customHeight="1" thickBot="1">
      <c r="C134" s="368" t="s">
        <v>683</v>
      </c>
      <c r="M134" s="368" t="s">
        <v>684</v>
      </c>
    </row>
    <row r="135" spans="3:13" ht="15.75" customHeight="1" thickBot="1">
      <c r="C135" s="368" t="s">
        <v>685</v>
      </c>
      <c r="M135" s="368" t="s">
        <v>686</v>
      </c>
    </row>
    <row r="136" spans="3:13" ht="30.75" customHeight="1" thickBot="1">
      <c r="C136" s="368" t="s">
        <v>687</v>
      </c>
      <c r="M136" s="368" t="s">
        <v>430</v>
      </c>
    </row>
    <row r="137" spans="3:13" ht="15.75" customHeight="1" thickBot="1">
      <c r="C137" s="368" t="s">
        <v>565</v>
      </c>
      <c r="M137" s="368" t="s">
        <v>439</v>
      </c>
    </row>
    <row r="138" spans="3:13" ht="30.75" customHeight="1" thickBot="1">
      <c r="C138" s="368" t="s">
        <v>688</v>
      </c>
      <c r="M138" s="368" t="s">
        <v>446</v>
      </c>
    </row>
    <row r="139" spans="3:13" ht="15.75" customHeight="1" thickBot="1">
      <c r="C139" s="368" t="s">
        <v>689</v>
      </c>
      <c r="M139" s="368" t="s">
        <v>452</v>
      </c>
    </row>
    <row r="140" spans="3:13" ht="15.75" customHeight="1" thickBot="1">
      <c r="C140" s="368" t="s">
        <v>690</v>
      </c>
      <c r="M140" s="368" t="s">
        <v>691</v>
      </c>
    </row>
    <row r="141" spans="3:13" ht="30.75" customHeight="1" thickBot="1">
      <c r="C141" s="368" t="s">
        <v>692</v>
      </c>
      <c r="M141" s="368" t="s">
        <v>693</v>
      </c>
    </row>
    <row r="142" spans="3:13" ht="15.75" customHeight="1" thickBot="1">
      <c r="C142" s="368" t="s">
        <v>300</v>
      </c>
      <c r="M142" s="368" t="s">
        <v>694</v>
      </c>
    </row>
    <row r="143" spans="3:13" ht="30.75" customHeight="1" thickBot="1">
      <c r="C143" s="368" t="s">
        <v>376</v>
      </c>
      <c r="M143" s="368" t="s">
        <v>694</v>
      </c>
    </row>
    <row r="144" spans="3:13" ht="15.75" customHeight="1" thickBot="1">
      <c r="C144" s="368" t="s">
        <v>341</v>
      </c>
      <c r="M144" s="368" t="s">
        <v>695</v>
      </c>
    </row>
    <row r="145" spans="3:13" ht="15.75" customHeight="1" thickBot="1">
      <c r="C145" s="368" t="s">
        <v>696</v>
      </c>
      <c r="M145" s="368" t="s">
        <v>697</v>
      </c>
    </row>
    <row r="146" spans="3:13" ht="15.75" customHeight="1" thickBot="1">
      <c r="C146" s="368" t="s">
        <v>459</v>
      </c>
      <c r="M146" s="368" t="s">
        <v>698</v>
      </c>
    </row>
    <row r="147" spans="3:13" ht="15.75" customHeight="1" thickBot="1">
      <c r="C147" s="368" t="s">
        <v>372</v>
      </c>
      <c r="M147" s="368" t="s">
        <v>467</v>
      </c>
    </row>
    <row r="148" spans="3:13" ht="15.75" customHeight="1" thickBot="1">
      <c r="C148" s="368" t="s">
        <v>699</v>
      </c>
      <c r="M148" s="368" t="s">
        <v>700</v>
      </c>
    </row>
    <row r="149" spans="3:13" ht="15.75" customHeight="1" thickBot="1">
      <c r="C149" s="368" t="s">
        <v>701</v>
      </c>
      <c r="M149" s="368" t="s">
        <v>474</v>
      </c>
    </row>
    <row r="150" spans="3:13" ht="15.75" customHeight="1" thickBot="1">
      <c r="C150" s="368" t="s">
        <v>702</v>
      </c>
      <c r="M150" s="368" t="s">
        <v>703</v>
      </c>
    </row>
    <row r="151" spans="3:13" ht="15.75" customHeight="1" thickBot="1">
      <c r="C151" s="368" t="s">
        <v>704</v>
      </c>
      <c r="M151" s="368" t="s">
        <v>705</v>
      </c>
    </row>
    <row r="152" spans="3:13" ht="15.75" customHeight="1" thickBot="1">
      <c r="C152" s="368" t="s">
        <v>680</v>
      </c>
      <c r="M152" s="368" t="s">
        <v>453</v>
      </c>
    </row>
    <row r="153" spans="3:13" ht="15.75" customHeight="1" thickBot="1">
      <c r="C153" s="368" t="s">
        <v>706</v>
      </c>
      <c r="M153" s="368" t="s">
        <v>707</v>
      </c>
    </row>
    <row r="154" spans="3:13" ht="15.75" customHeight="1" thickBot="1">
      <c r="C154" s="368" t="s">
        <v>708</v>
      </c>
      <c r="M154" s="368" t="s">
        <v>709</v>
      </c>
    </row>
    <row r="155" spans="3:13" ht="15.75" customHeight="1" thickBot="1">
      <c r="C155" s="368" t="s">
        <v>710</v>
      </c>
      <c r="M155" s="368" t="s">
        <v>493</v>
      </c>
    </row>
    <row r="156" spans="3:13" ht="30.75" customHeight="1" thickBot="1">
      <c r="C156" s="368" t="s">
        <v>711</v>
      </c>
      <c r="M156" s="368" t="s">
        <v>500</v>
      </c>
    </row>
    <row r="157" spans="3:13" ht="15.75" customHeight="1" thickBot="1">
      <c r="C157" s="368" t="s">
        <v>712</v>
      </c>
      <c r="M157" s="368" t="s">
        <v>466</v>
      </c>
    </row>
    <row r="158" spans="3:13" ht="15.75" customHeight="1" thickBot="1">
      <c r="C158" s="368" t="s">
        <v>713</v>
      </c>
      <c r="M158" s="368" t="s">
        <v>357</v>
      </c>
    </row>
    <row r="159" spans="3:13" ht="15.75" customHeight="1" thickBot="1">
      <c r="C159" s="368" t="s">
        <v>714</v>
      </c>
      <c r="M159" s="368" t="s">
        <v>367</v>
      </c>
    </row>
    <row r="160" spans="3:13" ht="30.75" customHeight="1" thickBot="1">
      <c r="C160" s="368" t="s">
        <v>715</v>
      </c>
      <c r="M160" s="368" t="s">
        <v>716</v>
      </c>
    </row>
    <row r="161" spans="3:13" ht="15.75" customHeight="1" thickBot="1">
      <c r="C161" s="368" t="s">
        <v>717</v>
      </c>
      <c r="M161" s="368" t="s">
        <v>461</v>
      </c>
    </row>
    <row r="162" spans="3:13" ht="15.75" customHeight="1" thickBot="1">
      <c r="C162" s="368" t="s">
        <v>568</v>
      </c>
      <c r="M162" s="368" t="s">
        <v>378</v>
      </c>
    </row>
    <row r="163" spans="3:13" ht="15.75" customHeight="1" thickBot="1">
      <c r="C163" s="368" t="s">
        <v>718</v>
      </c>
      <c r="M163" s="368" t="s">
        <v>719</v>
      </c>
    </row>
    <row r="164" spans="3:13" ht="15.75" customHeight="1" thickBot="1">
      <c r="C164" s="368" t="s">
        <v>720</v>
      </c>
      <c r="M164" s="368" t="s">
        <v>721</v>
      </c>
    </row>
    <row r="165" spans="3:13" ht="15.75" customHeight="1" thickBot="1">
      <c r="C165" s="368" t="s">
        <v>498</v>
      </c>
      <c r="M165" s="368" t="s">
        <v>523</v>
      </c>
    </row>
    <row r="166" spans="3:13" ht="15.75" customHeight="1" thickBot="1">
      <c r="C166" s="368" t="s">
        <v>420</v>
      </c>
      <c r="M166" s="368" t="s">
        <v>526</v>
      </c>
    </row>
    <row r="167" spans="3:13" ht="15.75" customHeight="1" thickBot="1">
      <c r="C167" s="368" t="s">
        <v>722</v>
      </c>
      <c r="M167" s="368" t="s">
        <v>468</v>
      </c>
    </row>
    <row r="168" spans="3:13" ht="15.75" customHeight="1" thickBot="1">
      <c r="C168" s="368" t="s">
        <v>723</v>
      </c>
      <c r="M168" s="368" t="s">
        <v>724</v>
      </c>
    </row>
    <row r="169" spans="3:13" ht="15.75" customHeight="1" thickBot="1">
      <c r="C169" s="368" t="s">
        <v>466</v>
      </c>
      <c r="M169" s="368" t="s">
        <v>725</v>
      </c>
    </row>
    <row r="170" spans="3:13" ht="15.75" customHeight="1" thickBot="1">
      <c r="C170" s="368" t="s">
        <v>548</v>
      </c>
      <c r="M170" s="368" t="s">
        <v>419</v>
      </c>
    </row>
    <row r="171" spans="3:13" ht="15.75" customHeight="1" thickBot="1">
      <c r="C171" s="368" t="s">
        <v>726</v>
      </c>
      <c r="M171" s="368" t="s">
        <v>480</v>
      </c>
    </row>
    <row r="172" spans="3:13" ht="15.75" customHeight="1" thickBot="1">
      <c r="C172" s="368" t="s">
        <v>727</v>
      </c>
      <c r="M172" s="368" t="s">
        <v>728</v>
      </c>
    </row>
    <row r="173" spans="3:13" ht="15.75" customHeight="1" thickBot="1">
      <c r="C173" s="368" t="s">
        <v>729</v>
      </c>
      <c r="M173" s="368" t="s">
        <v>397</v>
      </c>
    </row>
    <row r="174" spans="3:13" ht="15.75" customHeight="1" thickBot="1">
      <c r="C174" s="368" t="s">
        <v>730</v>
      </c>
      <c r="M174" s="368" t="s">
        <v>731</v>
      </c>
    </row>
    <row r="175" spans="3:13" ht="15.75" customHeight="1" thickBot="1">
      <c r="C175" s="368" t="s">
        <v>732</v>
      </c>
      <c r="M175" s="368" t="s">
        <v>406</v>
      </c>
    </row>
    <row r="176" spans="3:13" ht="15.75" customHeight="1" thickBot="1">
      <c r="C176" s="368" t="s">
        <v>733</v>
      </c>
      <c r="M176" s="368" t="s">
        <v>734</v>
      </c>
    </row>
    <row r="177" spans="3:13" ht="15.75" customHeight="1" thickBot="1">
      <c r="C177" s="368" t="s">
        <v>735</v>
      </c>
      <c r="M177" s="368" t="s">
        <v>736</v>
      </c>
    </row>
    <row r="178" spans="3:13" ht="15.75" customHeight="1" thickBot="1">
      <c r="C178" s="368" t="s">
        <v>737</v>
      </c>
      <c r="M178" s="368" t="s">
        <v>505</v>
      </c>
    </row>
    <row r="179" spans="3:13" ht="15.75" customHeight="1" thickBot="1">
      <c r="C179" s="368" t="s">
        <v>738</v>
      </c>
      <c r="M179" s="368" t="s">
        <v>393</v>
      </c>
    </row>
    <row r="180" spans="3:13" ht="15.75" customHeight="1" thickBot="1">
      <c r="C180" s="368" t="s">
        <v>739</v>
      </c>
      <c r="M180" s="368" t="s">
        <v>740</v>
      </c>
    </row>
    <row r="181" spans="3:13" ht="15.75" customHeight="1" thickBot="1">
      <c r="C181" s="368" t="s">
        <v>741</v>
      </c>
      <c r="M181" s="368" t="s">
        <v>487</v>
      </c>
    </row>
    <row r="182" spans="3:13" ht="15.75" customHeight="1" thickBot="1">
      <c r="C182" s="368" t="s">
        <v>742</v>
      </c>
      <c r="M182" s="368" t="s">
        <v>743</v>
      </c>
    </row>
    <row r="183" spans="3:13" ht="15.75" customHeight="1" thickBot="1">
      <c r="C183" s="368" t="s">
        <v>744</v>
      </c>
      <c r="M183" s="368" t="s">
        <v>745</v>
      </c>
    </row>
    <row r="184" spans="3:13" ht="15.75" customHeight="1" thickBot="1">
      <c r="C184" s="368" t="s">
        <v>746</v>
      </c>
      <c r="M184" s="368" t="s">
        <v>415</v>
      </c>
    </row>
    <row r="185" spans="3:13" ht="15.75" customHeight="1" thickBot="1">
      <c r="C185" s="368" t="s">
        <v>381</v>
      </c>
      <c r="M185" s="368" t="s">
        <v>747</v>
      </c>
    </row>
    <row r="186" spans="3:13" ht="15.75" customHeight="1" thickBot="1">
      <c r="C186" s="368" t="s">
        <v>748</v>
      </c>
      <c r="M186" s="368" t="s">
        <v>509</v>
      </c>
    </row>
    <row r="187" spans="3:13" ht="15.75" customHeight="1" thickBot="1">
      <c r="C187" s="368" t="s">
        <v>749</v>
      </c>
      <c r="M187" s="368" t="s">
        <v>750</v>
      </c>
    </row>
    <row r="188" spans="3:13" ht="15.75" customHeight="1" thickBot="1">
      <c r="C188" s="368" t="s">
        <v>751</v>
      </c>
      <c r="M188" s="368" t="s">
        <v>514</v>
      </c>
    </row>
    <row r="189" spans="3:13" ht="15.75" customHeight="1" thickBot="1">
      <c r="C189" s="368" t="s">
        <v>471</v>
      </c>
      <c r="M189" s="368" t="s">
        <v>752</v>
      </c>
    </row>
    <row r="190" spans="3:13" ht="15.75" customHeight="1" thickBot="1">
      <c r="C190" s="368" t="s">
        <v>753</v>
      </c>
      <c r="M190" s="368" t="s">
        <v>501</v>
      </c>
    </row>
    <row r="191" spans="3:13" ht="15.75" customHeight="1" thickBot="1">
      <c r="C191" s="368" t="s">
        <v>754</v>
      </c>
      <c r="M191" s="368" t="s">
        <v>755</v>
      </c>
    </row>
    <row r="192" spans="3:13" ht="30.75" customHeight="1" thickBot="1">
      <c r="C192" s="368" t="s">
        <v>756</v>
      </c>
      <c r="M192" s="368" t="s">
        <v>518</v>
      </c>
    </row>
    <row r="193" spans="3:13" ht="15.75" customHeight="1" thickBot="1">
      <c r="C193" s="368" t="s">
        <v>757</v>
      </c>
      <c r="M193" s="368" t="s">
        <v>758</v>
      </c>
    </row>
    <row r="194" spans="3:13" ht="15.75" customHeight="1" thickBot="1">
      <c r="C194" s="368" t="s">
        <v>759</v>
      </c>
      <c r="M194" s="368" t="s">
        <v>506</v>
      </c>
    </row>
    <row r="195" spans="3:13" ht="15.75" customHeight="1" thickBot="1">
      <c r="C195" s="368" t="s">
        <v>760</v>
      </c>
      <c r="M195" s="368" t="s">
        <v>761</v>
      </c>
    </row>
    <row r="196" spans="3:13" ht="15.75" customHeight="1" thickBot="1">
      <c r="C196" s="368" t="s">
        <v>762</v>
      </c>
      <c r="M196" s="368" t="s">
        <v>763</v>
      </c>
    </row>
    <row r="197" spans="3:13" ht="15.75" customHeight="1" thickBot="1">
      <c r="C197" s="368" t="s">
        <v>764</v>
      </c>
      <c r="M197" s="368" t="s">
        <v>765</v>
      </c>
    </row>
    <row r="198" spans="3:13" ht="15.75" customHeight="1" thickBot="1">
      <c r="C198" s="368" t="s">
        <v>766</v>
      </c>
      <c r="M198" s="368" t="s">
        <v>510</v>
      </c>
    </row>
    <row r="199" spans="3:13" ht="15.75" customHeight="1" thickBot="1">
      <c r="C199" s="368" t="s">
        <v>767</v>
      </c>
      <c r="M199" s="368" t="s">
        <v>534</v>
      </c>
    </row>
    <row r="200" spans="3:13" ht="15.75" customHeight="1" thickBot="1">
      <c r="C200" s="368" t="s">
        <v>428</v>
      </c>
      <c r="M200" s="368" t="s">
        <v>538</v>
      </c>
    </row>
    <row r="201" spans="3:13" ht="15.75" customHeight="1" thickBot="1">
      <c r="C201" s="368" t="s">
        <v>768</v>
      </c>
      <c r="M201" s="368" t="s">
        <v>541</v>
      </c>
    </row>
    <row r="202" spans="3:13" ht="15.75" customHeight="1" thickBot="1">
      <c r="C202" s="368" t="s">
        <v>769</v>
      </c>
      <c r="M202" s="368" t="s">
        <v>545</v>
      </c>
    </row>
    <row r="203" spans="3:13" ht="15.75" customHeight="1" thickBot="1">
      <c r="C203" s="368" t="s">
        <v>770</v>
      </c>
      <c r="M203" s="368" t="s">
        <v>771</v>
      </c>
    </row>
    <row r="204" spans="3:13" ht="15.75" customHeight="1" thickBot="1">
      <c r="C204" s="368" t="s">
        <v>435</v>
      </c>
      <c r="M204" s="368" t="s">
        <v>551</v>
      </c>
    </row>
    <row r="205" spans="3:13" ht="15.75" customHeight="1" thickBot="1">
      <c r="C205" s="368" t="s">
        <v>772</v>
      </c>
      <c r="M205" s="368" t="s">
        <v>436</v>
      </c>
    </row>
    <row r="206" spans="3:13" ht="15.75" customHeight="1" thickBot="1">
      <c r="C206" s="368" t="s">
        <v>773</v>
      </c>
      <c r="M206" s="368" t="s">
        <v>559</v>
      </c>
    </row>
    <row r="207" spans="3:13" ht="15.75" customHeight="1" thickBot="1">
      <c r="C207" s="368" t="s">
        <v>330</v>
      </c>
      <c r="M207" s="368"/>
    </row>
    <row r="208" spans="3:13" ht="15.75" customHeight="1" thickBot="1">
      <c r="C208" s="368" t="s">
        <v>774</v>
      </c>
      <c r="M208" s="368"/>
    </row>
    <row r="209" spans="3:13" ht="15.75" customHeight="1" thickBot="1">
      <c r="C209" s="368" t="s">
        <v>573</v>
      </c>
      <c r="M209" s="368"/>
    </row>
    <row r="210" spans="3:13" ht="15.75" customHeight="1" thickBot="1">
      <c r="C210" s="368" t="s">
        <v>775</v>
      </c>
      <c r="M210" s="368"/>
    </row>
    <row r="211" spans="3:13" ht="15.75" customHeight="1" thickBot="1">
      <c r="C211" s="368" t="s">
        <v>776</v>
      </c>
      <c r="M211" s="368"/>
    </row>
    <row r="212" spans="3:13" ht="15.75" customHeight="1" thickBot="1">
      <c r="C212" s="368" t="s">
        <v>777</v>
      </c>
      <c r="M212" s="368"/>
    </row>
    <row r="213" spans="3:13" ht="15.75" customHeight="1" thickBot="1">
      <c r="C213" s="368" t="s">
        <v>778</v>
      </c>
      <c r="M213" s="368"/>
    </row>
    <row r="214" spans="3:13" ht="15.75" customHeight="1" thickBot="1">
      <c r="C214" s="368" t="s">
        <v>779</v>
      </c>
      <c r="M214" s="368"/>
    </row>
    <row r="215" spans="3:13" ht="15.75" customHeight="1" thickBot="1">
      <c r="C215" s="368" t="s">
        <v>780</v>
      </c>
      <c r="M215" s="368"/>
    </row>
    <row r="216" spans="3:13" ht="15.75" customHeight="1" thickBot="1">
      <c r="C216" s="368" t="s">
        <v>343</v>
      </c>
      <c r="M216" s="368"/>
    </row>
    <row r="217" spans="3:13" ht="15.75" customHeight="1" thickBot="1">
      <c r="C217" s="368" t="s">
        <v>781</v>
      </c>
      <c r="M217" s="368"/>
    </row>
    <row r="218" spans="3:13" ht="15.75" customHeight="1" thickBot="1">
      <c r="C218" s="368" t="s">
        <v>550</v>
      </c>
      <c r="M218" s="368"/>
    </row>
    <row r="219" spans="3:13" ht="15.75" customHeight="1" thickBot="1">
      <c r="C219" s="368" t="s">
        <v>554</v>
      </c>
      <c r="M219" s="368"/>
    </row>
    <row r="220" spans="3:13" ht="15.75" customHeight="1" thickBot="1">
      <c r="C220" s="368" t="s">
        <v>576</v>
      </c>
    </row>
    <row r="221" spans="3:13" ht="15.75" customHeight="1" thickBot="1">
      <c r="C221" s="368" t="s">
        <v>353</v>
      </c>
    </row>
    <row r="222" spans="3:13" ht="15.75" customHeight="1" thickBot="1">
      <c r="C222" s="368" t="s">
        <v>782</v>
      </c>
    </row>
    <row r="223" spans="3:13" ht="15.75" customHeight="1" thickBot="1">
      <c r="C223" s="368" t="s">
        <v>783</v>
      </c>
    </row>
    <row r="224" spans="3:13" ht="15.75" customHeight="1" thickBot="1">
      <c r="C224" s="368" t="s">
        <v>577</v>
      </c>
    </row>
    <row r="225" spans="3:3" ht="15.75" customHeight="1" thickBot="1">
      <c r="C225" s="368" t="s">
        <v>579</v>
      </c>
    </row>
    <row r="226" spans="3:3" ht="15.75" customHeight="1" thickBot="1">
      <c r="C226" s="368" t="s">
        <v>784</v>
      </c>
    </row>
    <row r="227" spans="3:3" ht="15.75" customHeight="1" thickBot="1">
      <c r="C227" s="368" t="s">
        <v>785</v>
      </c>
    </row>
    <row r="228" spans="3:3" ht="15.75" customHeight="1" thickBot="1">
      <c r="C228" s="368" t="s">
        <v>329</v>
      </c>
    </row>
    <row r="229" spans="3:3" ht="15.75" customHeight="1" thickBot="1">
      <c r="C229" s="368" t="s">
        <v>786</v>
      </c>
    </row>
    <row r="230" spans="3:3" ht="15.75" customHeight="1" thickBot="1">
      <c r="C230" s="368" t="s">
        <v>787</v>
      </c>
    </row>
    <row r="231" spans="3:3" ht="15.75" customHeight="1" thickBot="1">
      <c r="C231" s="368" t="s">
        <v>484</v>
      </c>
    </row>
    <row r="232" spans="3:3" ht="15.75" customHeight="1" thickBot="1">
      <c r="C232" s="368" t="s">
        <v>490</v>
      </c>
    </row>
    <row r="233" spans="3:3" ht="15.75" customHeight="1" thickBot="1">
      <c r="C233" s="368" t="s">
        <v>788</v>
      </c>
    </row>
    <row r="234" spans="3:3" ht="15.75" customHeight="1" thickBot="1">
      <c r="C234" s="368" t="s">
        <v>789</v>
      </c>
    </row>
    <row r="235" spans="3:3" ht="15.75" customHeight="1" thickBot="1">
      <c r="C235" s="368" t="s">
        <v>790</v>
      </c>
    </row>
    <row r="236" spans="3:3" ht="15.75" customHeight="1" thickBot="1">
      <c r="C236" s="368" t="s">
        <v>791</v>
      </c>
    </row>
    <row r="237" spans="3:3" ht="15.75" customHeight="1" thickBot="1">
      <c r="C237" s="368" t="s">
        <v>792</v>
      </c>
    </row>
    <row r="238" spans="3:3" ht="15.75" customHeight="1" thickBot="1">
      <c r="C238" s="368" t="s">
        <v>793</v>
      </c>
    </row>
    <row r="239" spans="3:3" ht="15.75" customHeight="1" thickBot="1">
      <c r="C239" s="368" t="s">
        <v>794</v>
      </c>
    </row>
    <row r="240" spans="3:3" ht="15.75" customHeight="1" thickBot="1">
      <c r="C240" s="368" t="s">
        <v>795</v>
      </c>
    </row>
    <row r="241" spans="3:3" ht="15.75" customHeight="1" thickBot="1">
      <c r="C241" s="368" t="s">
        <v>796</v>
      </c>
    </row>
    <row r="242" spans="3:3" ht="15.75" customHeight="1" thickBot="1">
      <c r="C242" s="368" t="s">
        <v>797</v>
      </c>
    </row>
    <row r="243" spans="3:3" ht="15.75" customHeight="1" thickBot="1">
      <c r="C243" s="368" t="s">
        <v>798</v>
      </c>
    </row>
    <row r="244" spans="3:3" ht="15.75" customHeight="1" thickBot="1">
      <c r="C244" s="368" t="s">
        <v>799</v>
      </c>
    </row>
    <row r="245" spans="3:3" ht="15.75" customHeight="1" thickBot="1">
      <c r="C245" s="368"/>
    </row>
    <row r="246" spans="3:3" ht="15.75" customHeight="1" thickBot="1">
      <c r="C246" s="368"/>
    </row>
    <row r="247" spans="3:3" ht="15.75" customHeight="1" thickBot="1">
      <c r="C247" s="368"/>
    </row>
    <row r="248" spans="3:3" ht="15.75" customHeight="1" thickBot="1">
      <c r="C248" s="368"/>
    </row>
    <row r="249" spans="3:3" ht="15.75" customHeight="1" thickBot="1">
      <c r="C249" s="368"/>
    </row>
    <row r="250" spans="3:3" ht="15.75" customHeight="1" thickBot="1">
      <c r="C250" s="368"/>
    </row>
    <row r="251" spans="3:3" ht="15.75" customHeight="1" thickBot="1">
      <c r="C251" s="368"/>
    </row>
    <row r="252" spans="3:3" ht="15.75" customHeight="1" thickBot="1">
      <c r="C252" s="368"/>
    </row>
    <row r="253" spans="3:3" ht="15.75" customHeight="1" thickBot="1">
      <c r="C253" s="368"/>
    </row>
    <row r="254" spans="3:3" ht="15.75" customHeight="1" thickBot="1">
      <c r="C254" s="368"/>
    </row>
    <row r="255" spans="3:3" ht="15.75" customHeight="1" thickBot="1">
      <c r="C255" s="368"/>
    </row>
  </sheetData>
  <sheetProtection sheet="1" scenarios="1"/>
  <sortState xmlns:xlrd2="http://schemas.microsoft.com/office/spreadsheetml/2017/richdata2" ref="AB2:AB260">
    <sortCondition ref="AB1"/>
  </sortState>
  <mergeCells count="2">
    <mergeCell ref="O1:T1"/>
    <mergeCell ref="V1:AB1"/>
  </mergeCells>
  <pageMargins left="0.7" right="0.7" top="0.75" bottom="0.75" header="0.3" footer="0.3"/>
  <pageSetup paperSize="9" orientation="portrait"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M1:EY240"/>
  <sheetViews>
    <sheetView workbookViewId="0"/>
  </sheetViews>
  <sheetFormatPr defaultRowHeight="15"/>
  <cols>
    <col min="1" max="47" width="9.140625" customWidth="1"/>
  </cols>
  <sheetData>
    <row r="1" spans="13:44">
      <c r="O1" s="379" t="s">
        <v>166</v>
      </c>
      <c r="U1" s="379" t="s">
        <v>800</v>
      </c>
      <c r="AC1" s="379" t="s">
        <v>199</v>
      </c>
      <c r="AE1" s="379" t="s">
        <v>800</v>
      </c>
      <c r="AQ1" t="s">
        <v>801</v>
      </c>
      <c r="AR1" t="s">
        <v>802</v>
      </c>
    </row>
    <row r="2" spans="13:44">
      <c r="M2" t="s">
        <v>803</v>
      </c>
      <c r="N2" t="s">
        <v>173</v>
      </c>
      <c r="O2" t="s">
        <v>174</v>
      </c>
      <c r="P2" t="s">
        <v>804</v>
      </c>
      <c r="Q2" t="s">
        <v>327</v>
      </c>
      <c r="U2" t="s">
        <v>805</v>
      </c>
      <c r="X2" t="s">
        <v>174</v>
      </c>
      <c r="Y2" t="s">
        <v>173</v>
      </c>
      <c r="AC2" t="s">
        <v>802</v>
      </c>
      <c r="AD2" t="s">
        <v>238</v>
      </c>
      <c r="AE2" t="s">
        <v>805</v>
      </c>
      <c r="AQ2" t="s">
        <v>806</v>
      </c>
      <c r="AR2" t="s">
        <v>801</v>
      </c>
    </row>
    <row r="3" spans="13:44">
      <c r="M3" t="s">
        <v>807</v>
      </c>
      <c r="N3" t="s">
        <v>178</v>
      </c>
      <c r="O3" t="s">
        <v>175</v>
      </c>
      <c r="P3" t="s">
        <v>808</v>
      </c>
      <c r="Q3" t="s">
        <v>390</v>
      </c>
      <c r="U3" t="s">
        <v>809</v>
      </c>
      <c r="X3" t="s">
        <v>175</v>
      </c>
      <c r="Y3" t="s">
        <v>178</v>
      </c>
      <c r="AC3" t="s">
        <v>801</v>
      </c>
      <c r="AD3" t="s">
        <v>235</v>
      </c>
      <c r="AE3" t="s">
        <v>809</v>
      </c>
      <c r="AQ3" t="s">
        <v>810</v>
      </c>
      <c r="AR3" t="s">
        <v>806</v>
      </c>
    </row>
    <row r="4" spans="13:44">
      <c r="N4" t="s">
        <v>179</v>
      </c>
      <c r="O4" t="s">
        <v>176</v>
      </c>
      <c r="P4" t="s">
        <v>811</v>
      </c>
      <c r="Q4" t="s">
        <v>476</v>
      </c>
      <c r="X4" t="s">
        <v>176</v>
      </c>
      <c r="Y4" t="s">
        <v>179</v>
      </c>
      <c r="AC4" t="s">
        <v>806</v>
      </c>
      <c r="AD4" t="s">
        <v>236</v>
      </c>
      <c r="AQ4" t="s">
        <v>812</v>
      </c>
      <c r="AR4" t="s">
        <v>810</v>
      </c>
    </row>
    <row r="5" spans="13:44">
      <c r="N5" t="s">
        <v>180</v>
      </c>
      <c r="O5" t="s">
        <v>177</v>
      </c>
      <c r="P5" t="s">
        <v>813</v>
      </c>
      <c r="Q5" t="s">
        <v>515</v>
      </c>
      <c r="X5" t="s">
        <v>177</v>
      </c>
      <c r="Y5" t="s">
        <v>180</v>
      </c>
      <c r="AC5" t="s">
        <v>810</v>
      </c>
      <c r="AR5" t="s">
        <v>812</v>
      </c>
    </row>
    <row r="6" spans="13:44">
      <c r="N6" t="s">
        <v>181</v>
      </c>
      <c r="P6" t="s">
        <v>814</v>
      </c>
      <c r="Q6" t="s">
        <v>815</v>
      </c>
      <c r="Y6" t="s">
        <v>181</v>
      </c>
      <c r="AC6" t="s">
        <v>812</v>
      </c>
    </row>
    <row r="7" spans="13:44">
      <c r="N7" t="s">
        <v>182</v>
      </c>
      <c r="P7" t="s">
        <v>816</v>
      </c>
      <c r="Q7" t="s">
        <v>817</v>
      </c>
      <c r="Y7" t="s">
        <v>182</v>
      </c>
    </row>
    <row r="8" spans="13:44">
      <c r="P8" t="s">
        <v>818</v>
      </c>
      <c r="Q8" t="s">
        <v>819</v>
      </c>
    </row>
    <row r="9" spans="13:44">
      <c r="P9" t="s">
        <v>820</v>
      </c>
      <c r="Q9" t="s">
        <v>821</v>
      </c>
    </row>
    <row r="10" spans="13:44">
      <c r="P10" t="s">
        <v>822</v>
      </c>
      <c r="Q10" t="s">
        <v>588</v>
      </c>
    </row>
    <row r="11" spans="13:44">
      <c r="P11" t="s">
        <v>823</v>
      </c>
      <c r="Q11" t="s">
        <v>824</v>
      </c>
    </row>
    <row r="12" spans="13:44">
      <c r="P12" t="s">
        <v>825</v>
      </c>
      <c r="Q12" t="s">
        <v>826</v>
      </c>
    </row>
    <row r="13" spans="13:44">
      <c r="P13" t="s">
        <v>827</v>
      </c>
      <c r="Q13" t="s">
        <v>828</v>
      </c>
    </row>
    <row r="14" spans="13:44">
      <c r="Q14" t="s">
        <v>650</v>
      </c>
    </row>
    <row r="15" spans="13:44">
      <c r="Q15" t="s">
        <v>829</v>
      </c>
    </row>
    <row r="16" spans="13:44">
      <c r="Q16" t="s">
        <v>685</v>
      </c>
    </row>
    <row r="17" spans="17:17">
      <c r="Q17" t="s">
        <v>830</v>
      </c>
    </row>
    <row r="18" spans="17:17">
      <c r="Q18" t="s">
        <v>831</v>
      </c>
    </row>
    <row r="19" spans="17:17">
      <c r="Q19" t="s">
        <v>822</v>
      </c>
    </row>
    <row r="20" spans="17:17">
      <c r="Q20" t="s">
        <v>713</v>
      </c>
    </row>
    <row r="21" spans="17:17">
      <c r="Q21" t="s">
        <v>381</v>
      </c>
    </row>
    <row r="22" spans="17:17">
      <c r="Q22" t="s">
        <v>832</v>
      </c>
    </row>
    <row r="23" spans="17:17">
      <c r="Q23" t="s">
        <v>768</v>
      </c>
    </row>
    <row r="24" spans="17:17">
      <c r="Q24" t="s">
        <v>329</v>
      </c>
    </row>
    <row r="25" spans="17:17">
      <c r="Q25" t="s">
        <v>833</v>
      </c>
    </row>
    <row r="26" spans="17:17">
      <c r="Q26" t="s">
        <v>834</v>
      </c>
    </row>
    <row r="27" spans="17:17">
      <c r="Q27" t="s">
        <v>835</v>
      </c>
    </row>
    <row r="28" spans="17:17">
      <c r="Q28" t="s">
        <v>836</v>
      </c>
    </row>
    <row r="29" spans="17:17">
      <c r="Q29" t="s">
        <v>837</v>
      </c>
    </row>
    <row r="30" spans="17:17">
      <c r="Q30" t="s">
        <v>838</v>
      </c>
    </row>
    <row r="31" spans="17:17">
      <c r="Q31" t="s">
        <v>839</v>
      </c>
    </row>
    <row r="32" spans="17:17">
      <c r="Q32" t="s">
        <v>840</v>
      </c>
    </row>
    <row r="33" spans="17:17">
      <c r="Q33" t="s">
        <v>841</v>
      </c>
    </row>
    <row r="34" spans="17:17">
      <c r="Q34" t="s">
        <v>842</v>
      </c>
    </row>
    <row r="35" spans="17:17">
      <c r="Q35" t="s">
        <v>843</v>
      </c>
    </row>
    <row r="36" spans="17:17">
      <c r="Q36" t="s">
        <v>844</v>
      </c>
    </row>
    <row r="37" spans="17:17">
      <c r="Q37" t="s">
        <v>822</v>
      </c>
    </row>
    <row r="38" spans="17:17">
      <c r="Q38" t="s">
        <v>845</v>
      </c>
    </row>
    <row r="39" spans="17:17">
      <c r="Q39" t="s">
        <v>846</v>
      </c>
    </row>
    <row r="40" spans="17:17">
      <c r="Q40" t="s">
        <v>847</v>
      </c>
    </row>
    <row r="41" spans="17:17">
      <c r="Q41" t="s">
        <v>848</v>
      </c>
    </row>
    <row r="42" spans="17:17">
      <c r="Q42" t="s">
        <v>849</v>
      </c>
    </row>
    <row r="43" spans="17:17">
      <c r="Q43" t="s">
        <v>749</v>
      </c>
    </row>
    <row r="44" spans="17:17">
      <c r="Q44" t="s">
        <v>850</v>
      </c>
    </row>
    <row r="45" spans="17:17">
      <c r="Q45" t="s">
        <v>851</v>
      </c>
    </row>
    <row r="46" spans="17:17">
      <c r="Q46" t="s">
        <v>852</v>
      </c>
    </row>
    <row r="47" spans="17:17">
      <c r="Q47" t="s">
        <v>778</v>
      </c>
    </row>
    <row r="48" spans="17:17">
      <c r="Q48" t="s">
        <v>853</v>
      </c>
    </row>
    <row r="49" spans="17:17">
      <c r="Q49" t="s">
        <v>854</v>
      </c>
    </row>
    <row r="50" spans="17:17">
      <c r="Q50" t="s">
        <v>855</v>
      </c>
    </row>
    <row r="51" spans="17:17">
      <c r="Q51" t="s">
        <v>856</v>
      </c>
    </row>
    <row r="52" spans="17:17">
      <c r="Q52" t="s">
        <v>857</v>
      </c>
    </row>
    <row r="53" spans="17:17">
      <c r="Q53" t="s">
        <v>858</v>
      </c>
    </row>
    <row r="54" spans="17:17">
      <c r="Q54" t="s">
        <v>859</v>
      </c>
    </row>
    <row r="55" spans="17:17">
      <c r="Q55" t="s">
        <v>860</v>
      </c>
    </row>
    <row r="56" spans="17:17">
      <c r="Q56" t="s">
        <v>861</v>
      </c>
    </row>
    <row r="57" spans="17:17">
      <c r="Q57" t="s">
        <v>862</v>
      </c>
    </row>
    <row r="58" spans="17:17">
      <c r="Q58" t="s">
        <v>863</v>
      </c>
    </row>
    <row r="59" spans="17:17">
      <c r="Q59" t="s">
        <v>864</v>
      </c>
    </row>
    <row r="60" spans="17:17">
      <c r="Q60" t="s">
        <v>303</v>
      </c>
    </row>
    <row r="61" spans="17:17">
      <c r="Q61" t="s">
        <v>563</v>
      </c>
    </row>
    <row r="62" spans="17:17">
      <c r="Q62" t="s">
        <v>865</v>
      </c>
    </row>
    <row r="63" spans="17:17">
      <c r="Q63" t="s">
        <v>866</v>
      </c>
    </row>
    <row r="64" spans="17:17">
      <c r="Q64" t="s">
        <v>690</v>
      </c>
    </row>
    <row r="65" spans="17:17">
      <c r="Q65" t="s">
        <v>822</v>
      </c>
    </row>
    <row r="66" spans="17:17">
      <c r="Q66" t="s">
        <v>867</v>
      </c>
    </row>
    <row r="67" spans="17:17">
      <c r="Q67" t="s">
        <v>868</v>
      </c>
    </row>
    <row r="68" spans="17:17">
      <c r="Q68" t="s">
        <v>869</v>
      </c>
    </row>
    <row r="69" spans="17:17">
      <c r="Q69" t="s">
        <v>870</v>
      </c>
    </row>
    <row r="70" spans="17:17">
      <c r="Q70" t="s">
        <v>330</v>
      </c>
    </row>
    <row r="71" spans="17:17">
      <c r="Q71" t="s">
        <v>871</v>
      </c>
    </row>
    <row r="72" spans="17:17">
      <c r="Q72" t="s">
        <v>343</v>
      </c>
    </row>
    <row r="73" spans="17:17">
      <c r="Q73" t="s">
        <v>872</v>
      </c>
    </row>
    <row r="74" spans="17:17">
      <c r="Q74" t="s">
        <v>782</v>
      </c>
    </row>
    <row r="75" spans="17:17">
      <c r="Q75" t="s">
        <v>873</v>
      </c>
    </row>
    <row r="76" spans="17:17">
      <c r="Q76" t="s">
        <v>874</v>
      </c>
    </row>
    <row r="77" spans="17:17">
      <c r="Q77" t="s">
        <v>875</v>
      </c>
    </row>
    <row r="78" spans="17:17">
      <c r="Q78" t="s">
        <v>566</v>
      </c>
    </row>
    <row r="79" spans="17:17">
      <c r="Q79" t="s">
        <v>876</v>
      </c>
    </row>
    <row r="80" spans="17:17">
      <c r="Q80" t="s">
        <v>591</v>
      </c>
    </row>
    <row r="81" spans="17:17">
      <c r="Q81" t="s">
        <v>877</v>
      </c>
    </row>
    <row r="82" spans="17:17">
      <c r="Q82" t="s">
        <v>878</v>
      </c>
    </row>
    <row r="83" spans="17:17">
      <c r="Q83" t="s">
        <v>879</v>
      </c>
    </row>
    <row r="84" spans="17:17">
      <c r="Q84" t="s">
        <v>880</v>
      </c>
    </row>
    <row r="85" spans="17:17">
      <c r="Q85" t="s">
        <v>881</v>
      </c>
    </row>
    <row r="86" spans="17:17">
      <c r="Q86" t="s">
        <v>882</v>
      </c>
    </row>
    <row r="87" spans="17:17">
      <c r="Q87" t="s">
        <v>883</v>
      </c>
    </row>
    <row r="88" spans="17:17">
      <c r="Q88" t="s">
        <v>884</v>
      </c>
    </row>
    <row r="89" spans="17:17">
      <c r="Q89" t="s">
        <v>885</v>
      </c>
    </row>
    <row r="90" spans="17:17">
      <c r="Q90" t="s">
        <v>689</v>
      </c>
    </row>
    <row r="91" spans="17:17">
      <c r="Q91" t="s">
        <v>886</v>
      </c>
    </row>
    <row r="92" spans="17:17">
      <c r="Q92" t="s">
        <v>822</v>
      </c>
    </row>
    <row r="93" spans="17:17">
      <c r="Q93" t="s">
        <v>887</v>
      </c>
    </row>
    <row r="94" spans="17:17">
      <c r="Q94" t="s">
        <v>888</v>
      </c>
    </row>
    <row r="95" spans="17:17">
      <c r="Q95" t="s">
        <v>889</v>
      </c>
    </row>
    <row r="96" spans="17:17">
      <c r="Q96" t="s">
        <v>890</v>
      </c>
    </row>
    <row r="97" spans="17:17">
      <c r="Q97" t="s">
        <v>891</v>
      </c>
    </row>
    <row r="98" spans="17:17">
      <c r="Q98" t="s">
        <v>892</v>
      </c>
    </row>
    <row r="99" spans="17:17">
      <c r="Q99" t="s">
        <v>893</v>
      </c>
    </row>
    <row r="100" spans="17:17">
      <c r="Q100" t="s">
        <v>894</v>
      </c>
    </row>
    <row r="101" spans="17:17">
      <c r="Q101" t="s">
        <v>895</v>
      </c>
    </row>
    <row r="102" spans="17:17">
      <c r="Q102" t="s">
        <v>896</v>
      </c>
    </row>
    <row r="103" spans="17:17">
      <c r="Q103" t="s">
        <v>897</v>
      </c>
    </row>
    <row r="104" spans="17:17">
      <c r="Q104" t="s">
        <v>898</v>
      </c>
    </row>
    <row r="105" spans="17:17">
      <c r="Q105" t="s">
        <v>899</v>
      </c>
    </row>
    <row r="106" spans="17:17">
      <c r="Q106" t="s">
        <v>900</v>
      </c>
    </row>
    <row r="107" spans="17:17">
      <c r="Q107" t="s">
        <v>901</v>
      </c>
    </row>
    <row r="108" spans="17:17">
      <c r="Q108" t="s">
        <v>902</v>
      </c>
    </row>
    <row r="109" spans="17:17">
      <c r="Q109" t="s">
        <v>903</v>
      </c>
    </row>
    <row r="110" spans="17:17">
      <c r="Q110" t="s">
        <v>904</v>
      </c>
    </row>
    <row r="111" spans="17:17">
      <c r="Q111" t="s">
        <v>905</v>
      </c>
    </row>
    <row r="112" spans="17:17">
      <c r="Q112" t="s">
        <v>822</v>
      </c>
    </row>
    <row r="113" spans="17:17">
      <c r="Q113" t="s">
        <v>906</v>
      </c>
    </row>
    <row r="114" spans="17:17">
      <c r="Q114" t="s">
        <v>907</v>
      </c>
    </row>
    <row r="115" spans="17:17">
      <c r="Q115" t="s">
        <v>726</v>
      </c>
    </row>
    <row r="116" spans="17:17">
      <c r="Q116" t="s">
        <v>733</v>
      </c>
    </row>
    <row r="117" spans="17:17">
      <c r="Q117" t="s">
        <v>908</v>
      </c>
    </row>
    <row r="118" spans="17:17">
      <c r="Q118" t="s">
        <v>909</v>
      </c>
    </row>
    <row r="119" spans="17:17">
      <c r="Q119" t="s">
        <v>910</v>
      </c>
    </row>
    <row r="120" spans="17:17">
      <c r="Q120" t="s">
        <v>911</v>
      </c>
    </row>
    <row r="121" spans="17:17">
      <c r="Q121" t="s">
        <v>858</v>
      </c>
    </row>
    <row r="122" spans="17:17">
      <c r="Q122" t="s">
        <v>912</v>
      </c>
    </row>
    <row r="123" spans="17:17">
      <c r="Q123" t="s">
        <v>913</v>
      </c>
    </row>
    <row r="124" spans="17:17">
      <c r="Q124" t="s">
        <v>914</v>
      </c>
    </row>
    <row r="125" spans="17:17">
      <c r="Q125" t="s">
        <v>915</v>
      </c>
    </row>
    <row r="126" spans="17:17">
      <c r="Q126" t="s">
        <v>916</v>
      </c>
    </row>
    <row r="127" spans="17:17">
      <c r="Q127" t="s">
        <v>917</v>
      </c>
    </row>
    <row r="128" spans="17:17">
      <c r="Q128" t="s">
        <v>918</v>
      </c>
    </row>
    <row r="129" spans="17:17">
      <c r="Q129" t="s">
        <v>688</v>
      </c>
    </row>
    <row r="130" spans="17:17">
      <c r="Q130" t="s">
        <v>822</v>
      </c>
    </row>
    <row r="131" spans="17:17">
      <c r="Q131" t="s">
        <v>919</v>
      </c>
    </row>
    <row r="132" spans="17:17">
      <c r="Q132" t="s">
        <v>920</v>
      </c>
    </row>
    <row r="133" spans="17:17">
      <c r="Q133" t="s">
        <v>921</v>
      </c>
    </row>
    <row r="134" spans="17:17">
      <c r="Q134" t="s">
        <v>922</v>
      </c>
    </row>
    <row r="135" spans="17:17">
      <c r="Q135" t="s">
        <v>923</v>
      </c>
    </row>
    <row r="136" spans="17:17">
      <c r="Q136" t="s">
        <v>924</v>
      </c>
    </row>
    <row r="137" spans="17:17">
      <c r="Q137" t="s">
        <v>925</v>
      </c>
    </row>
    <row r="138" spans="17:17">
      <c r="Q138" t="s">
        <v>926</v>
      </c>
    </row>
    <row r="139" spans="17:17">
      <c r="Q139" t="s">
        <v>927</v>
      </c>
    </row>
    <row r="140" spans="17:17">
      <c r="Q140" t="s">
        <v>928</v>
      </c>
    </row>
    <row r="141" spans="17:17">
      <c r="Q141" t="s">
        <v>929</v>
      </c>
    </row>
    <row r="142" spans="17:17">
      <c r="Q142" t="s">
        <v>930</v>
      </c>
    </row>
    <row r="143" spans="17:17">
      <c r="Q143" t="s">
        <v>931</v>
      </c>
    </row>
    <row r="144" spans="17:17">
      <c r="Q144" t="s">
        <v>247</v>
      </c>
    </row>
    <row r="145" spans="17:155">
      <c r="Q145" t="s">
        <v>932</v>
      </c>
    </row>
    <row r="146" spans="17:155">
      <c r="Q146" t="s">
        <v>933</v>
      </c>
    </row>
    <row r="147" spans="17:155">
      <c r="Q147" t="s">
        <v>934</v>
      </c>
    </row>
    <row r="148" spans="17:155">
      <c r="Q148" t="s">
        <v>935</v>
      </c>
    </row>
    <row r="149" spans="17:155">
      <c r="Q149" t="s">
        <v>936</v>
      </c>
    </row>
    <row r="150" spans="17:155">
      <c r="Q150" t="s">
        <v>937</v>
      </c>
    </row>
    <row r="151" spans="17:155">
      <c r="Q151" t="s">
        <v>822</v>
      </c>
    </row>
    <row r="152" spans="17:155">
      <c r="Q152" t="s">
        <v>938</v>
      </c>
    </row>
    <row r="153" spans="17:155">
      <c r="Q153" t="s">
        <v>939</v>
      </c>
    </row>
    <row r="154" spans="17:155">
      <c r="Q154" t="s">
        <v>940</v>
      </c>
    </row>
    <row r="155" spans="17:155">
      <c r="Q155" t="s">
        <v>941</v>
      </c>
      <c r="EY155">
        <v>6</v>
      </c>
    </row>
    <row r="156" spans="17:155">
      <c r="Q156" t="s">
        <v>942</v>
      </c>
    </row>
    <row r="157" spans="17:155">
      <c r="Q157" t="s">
        <v>943</v>
      </c>
    </row>
    <row r="158" spans="17:155">
      <c r="Q158" t="s">
        <v>687</v>
      </c>
    </row>
    <row r="159" spans="17:155">
      <c r="Q159" t="s">
        <v>944</v>
      </c>
    </row>
    <row r="160" spans="17:155">
      <c r="Q160" t="s">
        <v>822</v>
      </c>
    </row>
    <row r="161" spans="17:17">
      <c r="Q161" t="s">
        <v>945</v>
      </c>
    </row>
    <row r="162" spans="17:17">
      <c r="Q162" t="s">
        <v>946</v>
      </c>
    </row>
    <row r="163" spans="17:17">
      <c r="Q163" t="s">
        <v>947</v>
      </c>
    </row>
    <row r="164" spans="17:17">
      <c r="Q164" t="s">
        <v>948</v>
      </c>
    </row>
    <row r="165" spans="17:17">
      <c r="Q165" t="s">
        <v>822</v>
      </c>
    </row>
    <row r="166" spans="17:17">
      <c r="Q166" t="s">
        <v>949</v>
      </c>
    </row>
    <row r="167" spans="17:17">
      <c r="Q167" t="s">
        <v>950</v>
      </c>
    </row>
    <row r="168" spans="17:17">
      <c r="Q168" t="s">
        <v>951</v>
      </c>
    </row>
    <row r="169" spans="17:17">
      <c r="Q169" t="s">
        <v>527</v>
      </c>
    </row>
    <row r="170" spans="17:17">
      <c r="Q170" t="s">
        <v>544</v>
      </c>
    </row>
    <row r="171" spans="17:17">
      <c r="Q171" t="s">
        <v>952</v>
      </c>
    </row>
    <row r="172" spans="17:17">
      <c r="Q172" t="s">
        <v>953</v>
      </c>
    </row>
    <row r="173" spans="17:17">
      <c r="Q173" t="s">
        <v>954</v>
      </c>
    </row>
    <row r="174" spans="17:17">
      <c r="Q174" t="s">
        <v>822</v>
      </c>
    </row>
    <row r="175" spans="17:17">
      <c r="Q175" t="s">
        <v>548</v>
      </c>
    </row>
    <row r="176" spans="17:17">
      <c r="Q176" t="s">
        <v>955</v>
      </c>
    </row>
    <row r="177" spans="17:17">
      <c r="Q177" t="s">
        <v>550</v>
      </c>
    </row>
    <row r="178" spans="17:17">
      <c r="Q178" t="s">
        <v>956</v>
      </c>
    </row>
    <row r="179" spans="17:17">
      <c r="Q179" t="s">
        <v>957</v>
      </c>
    </row>
    <row r="180" spans="17:17">
      <c r="Q180" t="s">
        <v>958</v>
      </c>
    </row>
    <row r="181" spans="17:17">
      <c r="Q181" t="s">
        <v>959</v>
      </c>
    </row>
    <row r="182" spans="17:17">
      <c r="Q182" t="s">
        <v>960</v>
      </c>
    </row>
    <row r="183" spans="17:17">
      <c r="Q183" t="s">
        <v>961</v>
      </c>
    </row>
    <row r="184" spans="17:17">
      <c r="Q184" t="s">
        <v>962</v>
      </c>
    </row>
    <row r="185" spans="17:17">
      <c r="Q185" t="s">
        <v>363</v>
      </c>
    </row>
    <row r="186" spans="17:17">
      <c r="Q186" t="s">
        <v>963</v>
      </c>
    </row>
    <row r="187" spans="17:17">
      <c r="Q187" t="s">
        <v>964</v>
      </c>
    </row>
    <row r="188" spans="17:17">
      <c r="Q188" t="s">
        <v>375</v>
      </c>
    </row>
    <row r="189" spans="17:17">
      <c r="Q189" t="s">
        <v>384</v>
      </c>
    </row>
    <row r="190" spans="17:17">
      <c r="Q190" t="s">
        <v>965</v>
      </c>
    </row>
    <row r="191" spans="17:17">
      <c r="Q191" t="s">
        <v>966</v>
      </c>
    </row>
    <row r="192" spans="17:17">
      <c r="Q192" t="s">
        <v>967</v>
      </c>
    </row>
    <row r="193" spans="17:17">
      <c r="Q193" t="s">
        <v>411</v>
      </c>
    </row>
    <row r="194" spans="17:17">
      <c r="Q194" t="s">
        <v>968</v>
      </c>
    </row>
    <row r="195" spans="17:17">
      <c r="Q195" t="s">
        <v>969</v>
      </c>
    </row>
    <row r="196" spans="17:17">
      <c r="Q196" t="s">
        <v>970</v>
      </c>
    </row>
    <row r="197" spans="17:17">
      <c r="Q197" t="s">
        <v>971</v>
      </c>
    </row>
    <row r="198" spans="17:17">
      <c r="Q198" t="s">
        <v>822</v>
      </c>
    </row>
    <row r="199" spans="17:17">
      <c r="Q199" t="s">
        <v>972</v>
      </c>
    </row>
    <row r="200" spans="17:17">
      <c r="Q200" t="s">
        <v>973</v>
      </c>
    </row>
    <row r="201" spans="17:17">
      <c r="Q201" t="s">
        <v>974</v>
      </c>
    </row>
    <row r="202" spans="17:17">
      <c r="Q202" t="s">
        <v>975</v>
      </c>
    </row>
    <row r="203" spans="17:17">
      <c r="Q203" t="s">
        <v>976</v>
      </c>
    </row>
    <row r="204" spans="17:17">
      <c r="Q204" t="s">
        <v>977</v>
      </c>
    </row>
    <row r="205" spans="17:17">
      <c r="Q205" t="s">
        <v>978</v>
      </c>
    </row>
    <row r="206" spans="17:17">
      <c r="Q206" t="s">
        <v>979</v>
      </c>
    </row>
    <row r="207" spans="17:17">
      <c r="Q207" t="s">
        <v>980</v>
      </c>
    </row>
    <row r="208" spans="17:17">
      <c r="Q208" t="s">
        <v>781</v>
      </c>
    </row>
    <row r="209" spans="17:17">
      <c r="Q209" t="s">
        <v>981</v>
      </c>
    </row>
    <row r="210" spans="17:17">
      <c r="Q210" t="s">
        <v>577</v>
      </c>
    </row>
    <row r="211" spans="17:17">
      <c r="Q211" t="s">
        <v>982</v>
      </c>
    </row>
    <row r="212" spans="17:17">
      <c r="Q212" t="s">
        <v>983</v>
      </c>
    </row>
    <row r="213" spans="17:17">
      <c r="Q213" t="s">
        <v>984</v>
      </c>
    </row>
    <row r="214" spans="17:17">
      <c r="Q214" t="s">
        <v>985</v>
      </c>
    </row>
    <row r="215" spans="17:17">
      <c r="Q215" t="s">
        <v>986</v>
      </c>
    </row>
    <row r="216" spans="17:17">
      <c r="Q216" t="s">
        <v>987</v>
      </c>
    </row>
    <row r="217" spans="17:17">
      <c r="Q217" t="s">
        <v>988</v>
      </c>
    </row>
    <row r="218" spans="17:17">
      <c r="Q218" t="s">
        <v>989</v>
      </c>
    </row>
    <row r="219" spans="17:17">
      <c r="Q219" t="s">
        <v>990</v>
      </c>
    </row>
    <row r="220" spans="17:17">
      <c r="Q220" t="s">
        <v>991</v>
      </c>
    </row>
    <row r="221" spans="17:17">
      <c r="Q221" t="s">
        <v>992</v>
      </c>
    </row>
    <row r="222" spans="17:17">
      <c r="Q222" t="s">
        <v>993</v>
      </c>
    </row>
    <row r="223" spans="17:17">
      <c r="Q223" t="s">
        <v>994</v>
      </c>
    </row>
    <row r="224" spans="17:17">
      <c r="Q224" t="s">
        <v>995</v>
      </c>
    </row>
    <row r="225" spans="17:17">
      <c r="Q225" t="s">
        <v>676</v>
      </c>
    </row>
    <row r="226" spans="17:17">
      <c r="Q226" t="s">
        <v>996</v>
      </c>
    </row>
    <row r="227" spans="17:17">
      <c r="Q227" t="s">
        <v>997</v>
      </c>
    </row>
    <row r="228" spans="17:17">
      <c r="Q228" t="s">
        <v>822</v>
      </c>
    </row>
    <row r="229" spans="17:17">
      <c r="Q229" t="s">
        <v>998</v>
      </c>
    </row>
    <row r="230" spans="17:17">
      <c r="Q230" t="s">
        <v>999</v>
      </c>
    </row>
    <row r="231" spans="17:17">
      <c r="Q231" t="s">
        <v>1000</v>
      </c>
    </row>
    <row r="232" spans="17:17">
      <c r="Q232" t="s">
        <v>1001</v>
      </c>
    </row>
    <row r="233" spans="17:17">
      <c r="Q233" t="s">
        <v>1002</v>
      </c>
    </row>
    <row r="234" spans="17:17">
      <c r="Q234" t="s">
        <v>1003</v>
      </c>
    </row>
    <row r="235" spans="17:17">
      <c r="Q235" t="s">
        <v>1004</v>
      </c>
    </row>
    <row r="236" spans="17:17">
      <c r="Q236" t="s">
        <v>1005</v>
      </c>
    </row>
    <row r="237" spans="17:17">
      <c r="Q237" t="s">
        <v>1006</v>
      </c>
    </row>
    <row r="238" spans="17:17">
      <c r="Q238" t="s">
        <v>1007</v>
      </c>
    </row>
    <row r="239" spans="17:17">
      <c r="Q239" t="s">
        <v>1008</v>
      </c>
    </row>
    <row r="240" spans="17:17">
      <c r="Q240" t="s">
        <v>1009</v>
      </c>
    </row>
  </sheetData>
  <pageMargins left="0.7" right="0.7" top="0.75" bottom="0.75" header="0.3" footer="0.3"/>
  <legacy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B1:P34"/>
  <sheetViews>
    <sheetView workbookViewId="0"/>
  </sheetViews>
  <sheetFormatPr defaultRowHeight="15"/>
  <sheetData>
    <row r="1" spans="2:16">
      <c r="B1" t="s">
        <v>1010</v>
      </c>
      <c r="C1" t="s">
        <v>1011</v>
      </c>
      <c r="D1" t="s">
        <v>1012</v>
      </c>
    </row>
    <row r="2" spans="2:16">
      <c r="B2" t="s">
        <v>801</v>
      </c>
      <c r="C2" t="s">
        <v>802</v>
      </c>
      <c r="D2" t="s">
        <v>804</v>
      </c>
      <c r="E2" t="s">
        <v>327</v>
      </c>
      <c r="F2" t="s">
        <v>835</v>
      </c>
      <c r="G2" t="s">
        <v>857</v>
      </c>
      <c r="H2" t="s">
        <v>873</v>
      </c>
      <c r="I2" t="s">
        <v>892</v>
      </c>
      <c r="J2" t="s">
        <v>911</v>
      </c>
      <c r="K2" t="s">
        <v>247</v>
      </c>
      <c r="L2" t="s">
        <v>940</v>
      </c>
      <c r="M2" t="s">
        <v>822</v>
      </c>
      <c r="N2" t="s">
        <v>949</v>
      </c>
      <c r="O2" t="s">
        <v>957</v>
      </c>
      <c r="P2" t="s">
        <v>983</v>
      </c>
    </row>
    <row r="3" spans="2:16">
      <c r="B3" t="s">
        <v>806</v>
      </c>
      <c r="C3" t="s">
        <v>801</v>
      </c>
      <c r="D3" t="s">
        <v>808</v>
      </c>
      <c r="E3" t="s">
        <v>390</v>
      </c>
      <c r="F3" t="s">
        <v>836</v>
      </c>
      <c r="G3" t="s">
        <v>858</v>
      </c>
      <c r="H3" t="s">
        <v>874</v>
      </c>
      <c r="I3" t="s">
        <v>893</v>
      </c>
      <c r="J3" t="s">
        <v>858</v>
      </c>
      <c r="K3" t="s">
        <v>932</v>
      </c>
      <c r="L3" t="s">
        <v>941</v>
      </c>
      <c r="N3" t="s">
        <v>950</v>
      </c>
      <c r="O3" t="s">
        <v>958</v>
      </c>
      <c r="P3" t="s">
        <v>984</v>
      </c>
    </row>
    <row r="4" spans="2:16">
      <c r="B4" t="s">
        <v>810</v>
      </c>
      <c r="C4" t="s">
        <v>806</v>
      </c>
      <c r="D4" t="s">
        <v>811</v>
      </c>
      <c r="E4" t="s">
        <v>476</v>
      </c>
      <c r="F4" t="s">
        <v>837</v>
      </c>
      <c r="G4" t="s">
        <v>859</v>
      </c>
      <c r="H4" t="s">
        <v>875</v>
      </c>
      <c r="I4" t="s">
        <v>894</v>
      </c>
      <c r="J4" t="s">
        <v>912</v>
      </c>
      <c r="K4" t="s">
        <v>933</v>
      </c>
      <c r="L4" t="s">
        <v>942</v>
      </c>
      <c r="N4" t="s">
        <v>951</v>
      </c>
      <c r="O4" t="s">
        <v>959</v>
      </c>
      <c r="P4" t="s">
        <v>985</v>
      </c>
    </row>
    <row r="5" spans="2:16">
      <c r="B5" t="s">
        <v>812</v>
      </c>
      <c r="C5" t="s">
        <v>810</v>
      </c>
      <c r="D5" t="s">
        <v>813</v>
      </c>
      <c r="E5" t="s">
        <v>515</v>
      </c>
      <c r="F5" t="s">
        <v>838</v>
      </c>
      <c r="G5" t="s">
        <v>860</v>
      </c>
      <c r="H5" t="s">
        <v>566</v>
      </c>
      <c r="I5" t="s">
        <v>895</v>
      </c>
      <c r="J5" t="s">
        <v>913</v>
      </c>
      <c r="K5" t="s">
        <v>934</v>
      </c>
      <c r="L5" t="s">
        <v>943</v>
      </c>
      <c r="N5" t="s">
        <v>527</v>
      </c>
      <c r="O5" t="s">
        <v>960</v>
      </c>
      <c r="P5" t="s">
        <v>986</v>
      </c>
    </row>
    <row r="6" spans="2:16">
      <c r="C6" t="s">
        <v>812</v>
      </c>
      <c r="D6" t="s">
        <v>814</v>
      </c>
      <c r="E6" t="s">
        <v>815</v>
      </c>
      <c r="F6" t="s">
        <v>839</v>
      </c>
      <c r="G6" t="s">
        <v>861</v>
      </c>
      <c r="H6" t="s">
        <v>876</v>
      </c>
      <c r="I6" t="s">
        <v>896</v>
      </c>
      <c r="J6" t="s">
        <v>914</v>
      </c>
      <c r="K6" t="s">
        <v>935</v>
      </c>
      <c r="L6" t="s">
        <v>687</v>
      </c>
      <c r="N6" t="s">
        <v>544</v>
      </c>
      <c r="O6" t="s">
        <v>961</v>
      </c>
      <c r="P6" t="s">
        <v>987</v>
      </c>
    </row>
    <row r="7" spans="2:16">
      <c r="D7" t="s">
        <v>816</v>
      </c>
      <c r="E7" t="s">
        <v>817</v>
      </c>
      <c r="F7" t="s">
        <v>840</v>
      </c>
      <c r="G7" t="s">
        <v>862</v>
      </c>
      <c r="H7" t="s">
        <v>591</v>
      </c>
      <c r="I7" t="s">
        <v>897</v>
      </c>
      <c r="J7" t="s">
        <v>915</v>
      </c>
      <c r="K7" t="s">
        <v>936</v>
      </c>
      <c r="L7" t="s">
        <v>944</v>
      </c>
      <c r="N7" t="s">
        <v>952</v>
      </c>
      <c r="O7" t="s">
        <v>962</v>
      </c>
      <c r="P7" t="s">
        <v>988</v>
      </c>
    </row>
    <row r="8" spans="2:16">
      <c r="D8" t="s">
        <v>818</v>
      </c>
      <c r="E8" t="s">
        <v>819</v>
      </c>
      <c r="F8" t="s">
        <v>841</v>
      </c>
      <c r="G8" t="s">
        <v>863</v>
      </c>
      <c r="H8" t="s">
        <v>877</v>
      </c>
      <c r="I8" t="s">
        <v>898</v>
      </c>
      <c r="J8" t="s">
        <v>916</v>
      </c>
      <c r="K8" t="s">
        <v>937</v>
      </c>
      <c r="L8" t="s">
        <v>822</v>
      </c>
      <c r="N8" t="s">
        <v>953</v>
      </c>
      <c r="O8" t="s">
        <v>363</v>
      </c>
      <c r="P8" t="s">
        <v>989</v>
      </c>
    </row>
    <row r="9" spans="2:16">
      <c r="D9" t="s">
        <v>820</v>
      </c>
      <c r="E9" t="s">
        <v>821</v>
      </c>
      <c r="F9" t="s">
        <v>842</v>
      </c>
      <c r="G9" t="s">
        <v>864</v>
      </c>
      <c r="H9" t="s">
        <v>878</v>
      </c>
      <c r="I9" t="s">
        <v>899</v>
      </c>
      <c r="J9" t="s">
        <v>917</v>
      </c>
      <c r="K9" t="s">
        <v>822</v>
      </c>
      <c r="L9" t="s">
        <v>945</v>
      </c>
      <c r="N9" t="s">
        <v>954</v>
      </c>
      <c r="O9" t="s">
        <v>963</v>
      </c>
      <c r="P9" t="s">
        <v>990</v>
      </c>
    </row>
    <row r="10" spans="2:16">
      <c r="D10" t="s">
        <v>822</v>
      </c>
      <c r="E10" t="s">
        <v>588</v>
      </c>
      <c r="F10" t="s">
        <v>843</v>
      </c>
      <c r="G10" t="s">
        <v>303</v>
      </c>
      <c r="H10" t="s">
        <v>879</v>
      </c>
      <c r="I10" t="s">
        <v>900</v>
      </c>
      <c r="J10" t="s">
        <v>918</v>
      </c>
      <c r="K10" t="s">
        <v>938</v>
      </c>
      <c r="L10" t="s">
        <v>946</v>
      </c>
      <c r="N10" t="s">
        <v>822</v>
      </c>
      <c r="O10" t="s">
        <v>964</v>
      </c>
      <c r="P10" t="s">
        <v>991</v>
      </c>
    </row>
    <row r="11" spans="2:16">
      <c r="D11" t="s">
        <v>823</v>
      </c>
      <c r="E11" t="s">
        <v>824</v>
      </c>
      <c r="F11" t="s">
        <v>844</v>
      </c>
      <c r="G11" t="s">
        <v>563</v>
      </c>
      <c r="H11" t="s">
        <v>880</v>
      </c>
      <c r="I11" t="s">
        <v>901</v>
      </c>
      <c r="J11" t="s">
        <v>688</v>
      </c>
      <c r="K11" t="s">
        <v>939</v>
      </c>
      <c r="L11" t="s">
        <v>947</v>
      </c>
      <c r="N11" t="s">
        <v>548</v>
      </c>
      <c r="O11" t="s">
        <v>375</v>
      </c>
      <c r="P11" t="s">
        <v>992</v>
      </c>
    </row>
    <row r="12" spans="2:16">
      <c r="D12" t="s">
        <v>825</v>
      </c>
      <c r="E12" t="s">
        <v>826</v>
      </c>
      <c r="F12" t="s">
        <v>822</v>
      </c>
      <c r="G12" t="s">
        <v>865</v>
      </c>
      <c r="H12" t="s">
        <v>881</v>
      </c>
      <c r="I12" t="s">
        <v>902</v>
      </c>
      <c r="J12" t="s">
        <v>822</v>
      </c>
      <c r="L12" t="s">
        <v>948</v>
      </c>
      <c r="N12" t="s">
        <v>955</v>
      </c>
      <c r="O12" t="s">
        <v>384</v>
      </c>
      <c r="P12" t="s">
        <v>993</v>
      </c>
    </row>
    <row r="13" spans="2:16">
      <c r="D13" t="s">
        <v>827</v>
      </c>
      <c r="E13" t="s">
        <v>828</v>
      </c>
      <c r="F13" t="s">
        <v>845</v>
      </c>
      <c r="G13" t="s">
        <v>866</v>
      </c>
      <c r="H13" t="s">
        <v>882</v>
      </c>
      <c r="I13" t="s">
        <v>903</v>
      </c>
      <c r="J13" t="s">
        <v>919</v>
      </c>
      <c r="N13" t="s">
        <v>550</v>
      </c>
      <c r="O13" t="s">
        <v>965</v>
      </c>
      <c r="P13" t="s">
        <v>994</v>
      </c>
    </row>
    <row r="14" spans="2:16">
      <c r="E14" t="s">
        <v>650</v>
      </c>
      <c r="F14" t="s">
        <v>846</v>
      </c>
      <c r="G14" t="s">
        <v>690</v>
      </c>
      <c r="H14" t="s">
        <v>883</v>
      </c>
      <c r="I14" t="s">
        <v>904</v>
      </c>
      <c r="J14" t="s">
        <v>920</v>
      </c>
      <c r="N14" t="s">
        <v>956</v>
      </c>
      <c r="O14" t="s">
        <v>966</v>
      </c>
      <c r="P14" t="s">
        <v>995</v>
      </c>
    </row>
    <row r="15" spans="2:16">
      <c r="E15" t="s">
        <v>829</v>
      </c>
      <c r="F15" t="s">
        <v>847</v>
      </c>
      <c r="G15" t="s">
        <v>822</v>
      </c>
      <c r="H15" t="s">
        <v>884</v>
      </c>
      <c r="I15" t="s">
        <v>905</v>
      </c>
      <c r="J15" t="s">
        <v>921</v>
      </c>
      <c r="O15" t="s">
        <v>967</v>
      </c>
      <c r="P15" t="s">
        <v>676</v>
      </c>
    </row>
    <row r="16" spans="2:16">
      <c r="E16" t="s">
        <v>685</v>
      </c>
      <c r="F16" t="s">
        <v>848</v>
      </c>
      <c r="G16" t="s">
        <v>867</v>
      </c>
      <c r="H16" t="s">
        <v>885</v>
      </c>
      <c r="I16" t="s">
        <v>822</v>
      </c>
      <c r="J16" t="s">
        <v>922</v>
      </c>
      <c r="O16" t="s">
        <v>411</v>
      </c>
      <c r="P16" t="s">
        <v>996</v>
      </c>
    </row>
    <row r="17" spans="5:16">
      <c r="E17" t="s">
        <v>830</v>
      </c>
      <c r="F17" t="s">
        <v>849</v>
      </c>
      <c r="G17" t="s">
        <v>868</v>
      </c>
      <c r="H17" t="s">
        <v>689</v>
      </c>
      <c r="I17" t="s">
        <v>906</v>
      </c>
      <c r="J17" t="s">
        <v>923</v>
      </c>
      <c r="O17" t="s">
        <v>968</v>
      </c>
      <c r="P17" t="s">
        <v>997</v>
      </c>
    </row>
    <row r="18" spans="5:16">
      <c r="E18" t="s">
        <v>831</v>
      </c>
      <c r="F18" t="s">
        <v>749</v>
      </c>
      <c r="G18" t="s">
        <v>869</v>
      </c>
      <c r="H18" t="s">
        <v>886</v>
      </c>
      <c r="I18" t="s">
        <v>907</v>
      </c>
      <c r="J18" t="s">
        <v>924</v>
      </c>
      <c r="O18" t="s">
        <v>969</v>
      </c>
      <c r="P18" t="s">
        <v>822</v>
      </c>
    </row>
    <row r="19" spans="5:16">
      <c r="E19" t="s">
        <v>822</v>
      </c>
      <c r="F19" t="s">
        <v>850</v>
      </c>
      <c r="G19" t="s">
        <v>870</v>
      </c>
      <c r="H19" t="s">
        <v>822</v>
      </c>
      <c r="I19" t="s">
        <v>726</v>
      </c>
      <c r="J19" t="s">
        <v>925</v>
      </c>
      <c r="O19" t="s">
        <v>970</v>
      </c>
      <c r="P19" t="s">
        <v>998</v>
      </c>
    </row>
    <row r="20" spans="5:16">
      <c r="E20" t="s">
        <v>713</v>
      </c>
      <c r="F20" t="s">
        <v>851</v>
      </c>
      <c r="G20" t="s">
        <v>330</v>
      </c>
      <c r="H20" t="s">
        <v>887</v>
      </c>
      <c r="I20" t="s">
        <v>733</v>
      </c>
      <c r="J20" t="s">
        <v>926</v>
      </c>
      <c r="O20" t="s">
        <v>971</v>
      </c>
      <c r="P20" t="s">
        <v>999</v>
      </c>
    </row>
    <row r="21" spans="5:16">
      <c r="E21" t="s">
        <v>381</v>
      </c>
      <c r="F21" t="s">
        <v>852</v>
      </c>
      <c r="G21" t="s">
        <v>871</v>
      </c>
      <c r="H21" t="s">
        <v>888</v>
      </c>
      <c r="I21" t="s">
        <v>908</v>
      </c>
      <c r="J21" t="s">
        <v>927</v>
      </c>
      <c r="O21" t="s">
        <v>822</v>
      </c>
      <c r="P21" t="s">
        <v>1000</v>
      </c>
    </row>
    <row r="22" spans="5:16">
      <c r="E22" t="s">
        <v>832</v>
      </c>
      <c r="F22" t="s">
        <v>778</v>
      </c>
      <c r="G22" t="s">
        <v>343</v>
      </c>
      <c r="H22" t="s">
        <v>889</v>
      </c>
      <c r="I22" t="s">
        <v>909</v>
      </c>
      <c r="J22" t="s">
        <v>928</v>
      </c>
      <c r="O22" t="s">
        <v>972</v>
      </c>
      <c r="P22" t="s">
        <v>1001</v>
      </c>
    </row>
    <row r="23" spans="5:16">
      <c r="E23" t="s">
        <v>768</v>
      </c>
      <c r="F23" t="s">
        <v>853</v>
      </c>
      <c r="G23" t="s">
        <v>872</v>
      </c>
      <c r="H23" t="s">
        <v>890</v>
      </c>
      <c r="I23" t="s">
        <v>910</v>
      </c>
      <c r="J23" t="s">
        <v>929</v>
      </c>
      <c r="O23" t="s">
        <v>973</v>
      </c>
      <c r="P23" t="s">
        <v>1002</v>
      </c>
    </row>
    <row r="24" spans="5:16">
      <c r="E24" t="s">
        <v>329</v>
      </c>
      <c r="F24" t="s">
        <v>854</v>
      </c>
      <c r="G24" t="s">
        <v>782</v>
      </c>
      <c r="H24" t="s">
        <v>891</v>
      </c>
      <c r="J24" t="s">
        <v>930</v>
      </c>
      <c r="O24" t="s">
        <v>974</v>
      </c>
      <c r="P24" t="s">
        <v>1003</v>
      </c>
    </row>
    <row r="25" spans="5:16">
      <c r="E25" t="s">
        <v>833</v>
      </c>
      <c r="F25" t="s">
        <v>855</v>
      </c>
      <c r="J25" t="s">
        <v>931</v>
      </c>
      <c r="O25" t="s">
        <v>975</v>
      </c>
      <c r="P25" t="s">
        <v>1004</v>
      </c>
    </row>
    <row r="26" spans="5:16">
      <c r="E26" t="s">
        <v>834</v>
      </c>
      <c r="F26" t="s">
        <v>856</v>
      </c>
      <c r="O26" t="s">
        <v>976</v>
      </c>
      <c r="P26" t="s">
        <v>1005</v>
      </c>
    </row>
    <row r="27" spans="5:16">
      <c r="O27" t="s">
        <v>977</v>
      </c>
      <c r="P27" t="s">
        <v>1006</v>
      </c>
    </row>
    <row r="28" spans="5:16">
      <c r="O28" t="s">
        <v>978</v>
      </c>
      <c r="P28" t="s">
        <v>1007</v>
      </c>
    </row>
    <row r="29" spans="5:16">
      <c r="O29" t="s">
        <v>979</v>
      </c>
      <c r="P29" t="s">
        <v>1008</v>
      </c>
    </row>
    <row r="30" spans="5:16">
      <c r="O30" t="s">
        <v>980</v>
      </c>
      <c r="P30" t="s">
        <v>1009</v>
      </c>
    </row>
    <row r="31" spans="5:16">
      <c r="O31" t="s">
        <v>781</v>
      </c>
    </row>
    <row r="32" spans="5:16">
      <c r="O32" t="s">
        <v>981</v>
      </c>
    </row>
    <row r="33" spans="15:15">
      <c r="O33" t="s">
        <v>577</v>
      </c>
    </row>
    <row r="34" spans="15:15">
      <c r="O34" t="s">
        <v>982</v>
      </c>
    </row>
  </sheetData>
  <pageMargins left="0.75" right="0.75" top="0.75" bottom="0.5" header="0.5" footer="0.7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D1:Q30"/>
  <sheetViews>
    <sheetView workbookViewId="0"/>
  </sheetViews>
  <sheetFormatPr defaultRowHeight="15"/>
  <sheetData>
    <row r="1" spans="4:17">
      <c r="D1" t="s">
        <v>1012</v>
      </c>
    </row>
    <row r="2" spans="4:17">
      <c r="D2" t="s">
        <v>1013</v>
      </c>
      <c r="E2" t="s">
        <v>1014</v>
      </c>
      <c r="F2" t="s">
        <v>1015</v>
      </c>
      <c r="G2" t="s">
        <v>1016</v>
      </c>
      <c r="H2" t="s">
        <v>1017</v>
      </c>
      <c r="I2" t="s">
        <v>1018</v>
      </c>
      <c r="J2" t="s">
        <v>1019</v>
      </c>
      <c r="K2" t="s">
        <v>1020</v>
      </c>
      <c r="L2" t="s">
        <v>1021</v>
      </c>
      <c r="M2" t="s">
        <v>1022</v>
      </c>
      <c r="N2" t="s">
        <v>822</v>
      </c>
      <c r="O2" t="s">
        <v>1023</v>
      </c>
      <c r="P2" t="s">
        <v>1024</v>
      </c>
      <c r="Q2" t="s">
        <v>1025</v>
      </c>
    </row>
    <row r="3" spans="4:17">
      <c r="D3" t="s">
        <v>1026</v>
      </c>
      <c r="E3" t="s">
        <v>1027</v>
      </c>
      <c r="F3" t="s">
        <v>1028</v>
      </c>
      <c r="G3" t="s">
        <v>1029</v>
      </c>
      <c r="H3" t="s">
        <v>1030</v>
      </c>
      <c r="I3" t="s">
        <v>1031</v>
      </c>
      <c r="J3" t="s">
        <v>1032</v>
      </c>
      <c r="K3" t="s">
        <v>1033</v>
      </c>
      <c r="L3" t="s">
        <v>1034</v>
      </c>
      <c r="M3" t="s">
        <v>1035</v>
      </c>
      <c r="O3" t="s">
        <v>1036</v>
      </c>
      <c r="P3" t="s">
        <v>277</v>
      </c>
      <c r="Q3" t="s">
        <v>1037</v>
      </c>
    </row>
    <row r="4" spans="4:17">
      <c r="D4" t="s">
        <v>595</v>
      </c>
      <c r="E4" t="s">
        <v>1038</v>
      </c>
      <c r="F4" t="s">
        <v>1039</v>
      </c>
      <c r="G4" t="s">
        <v>1040</v>
      </c>
      <c r="H4" t="s">
        <v>1041</v>
      </c>
      <c r="I4" t="s">
        <v>1042</v>
      </c>
      <c r="J4" t="s">
        <v>1043</v>
      </c>
      <c r="K4" t="s">
        <v>1044</v>
      </c>
      <c r="L4" t="s">
        <v>1045</v>
      </c>
      <c r="M4" t="s">
        <v>1046</v>
      </c>
      <c r="O4" t="s">
        <v>1047</v>
      </c>
      <c r="P4" t="s">
        <v>1048</v>
      </c>
      <c r="Q4" t="s">
        <v>1049</v>
      </c>
    </row>
    <row r="5" spans="4:17">
      <c r="D5" t="s">
        <v>1050</v>
      </c>
      <c r="E5" t="s">
        <v>1051</v>
      </c>
      <c r="F5" t="s">
        <v>1052</v>
      </c>
      <c r="G5" t="s">
        <v>592</v>
      </c>
      <c r="H5" t="s">
        <v>1053</v>
      </c>
      <c r="I5" t="s">
        <v>1054</v>
      </c>
      <c r="J5" t="s">
        <v>1055</v>
      </c>
      <c r="K5" t="s">
        <v>1056</v>
      </c>
      <c r="L5" t="s">
        <v>1057</v>
      </c>
      <c r="M5" t="s">
        <v>1058</v>
      </c>
      <c r="O5" t="s">
        <v>1059</v>
      </c>
      <c r="P5" t="s">
        <v>1060</v>
      </c>
      <c r="Q5" t="s">
        <v>1061</v>
      </c>
    </row>
    <row r="6" spans="4:17">
      <c r="D6" t="s">
        <v>1062</v>
      </c>
      <c r="E6" t="s">
        <v>1063</v>
      </c>
      <c r="F6" t="s">
        <v>1064</v>
      </c>
      <c r="G6" t="s">
        <v>1065</v>
      </c>
      <c r="H6" t="s">
        <v>822</v>
      </c>
      <c r="I6" t="s">
        <v>1066</v>
      </c>
      <c r="J6" t="s">
        <v>1067</v>
      </c>
      <c r="K6" t="s">
        <v>1068</v>
      </c>
      <c r="L6" t="s">
        <v>1069</v>
      </c>
      <c r="M6" t="s">
        <v>1070</v>
      </c>
      <c r="O6" t="s">
        <v>1071</v>
      </c>
      <c r="P6" t="s">
        <v>1072</v>
      </c>
      <c r="Q6" t="s">
        <v>1073</v>
      </c>
    </row>
    <row r="7" spans="4:17">
      <c r="D7" t="s">
        <v>1074</v>
      </c>
      <c r="E7" t="s">
        <v>1075</v>
      </c>
      <c r="F7" t="s">
        <v>1076</v>
      </c>
      <c r="G7" t="s">
        <v>593</v>
      </c>
      <c r="H7" t="s">
        <v>1077</v>
      </c>
      <c r="I7" t="s">
        <v>1078</v>
      </c>
      <c r="J7" t="s">
        <v>1079</v>
      </c>
      <c r="K7" t="s">
        <v>1080</v>
      </c>
      <c r="L7" t="s">
        <v>1081</v>
      </c>
      <c r="M7" t="s">
        <v>1082</v>
      </c>
      <c r="O7" t="s">
        <v>822</v>
      </c>
      <c r="P7" t="s">
        <v>366</v>
      </c>
      <c r="Q7" t="s">
        <v>1083</v>
      </c>
    </row>
    <row r="8" spans="4:17">
      <c r="D8" t="s">
        <v>649</v>
      </c>
      <c r="E8" t="s">
        <v>1084</v>
      </c>
      <c r="F8" t="s">
        <v>1085</v>
      </c>
      <c r="G8" t="s">
        <v>1086</v>
      </c>
      <c r="H8" t="s">
        <v>1087</v>
      </c>
      <c r="I8" t="s">
        <v>1088</v>
      </c>
      <c r="J8" t="s">
        <v>1089</v>
      </c>
      <c r="K8" t="s">
        <v>1090</v>
      </c>
      <c r="L8" t="s">
        <v>822</v>
      </c>
      <c r="M8" t="s">
        <v>1091</v>
      </c>
      <c r="O8" t="s">
        <v>1092</v>
      </c>
      <c r="P8" t="s">
        <v>1093</v>
      </c>
      <c r="Q8" t="s">
        <v>1094</v>
      </c>
    </row>
    <row r="9" spans="4:17">
      <c r="D9" t="s">
        <v>1081</v>
      </c>
      <c r="E9" t="s">
        <v>1095</v>
      </c>
      <c r="F9" t="s">
        <v>1096</v>
      </c>
      <c r="G9" t="s">
        <v>1097</v>
      </c>
      <c r="I9" t="s">
        <v>1098</v>
      </c>
      <c r="J9" t="s">
        <v>822</v>
      </c>
      <c r="K9" t="s">
        <v>1099</v>
      </c>
      <c r="L9" t="s">
        <v>1100</v>
      </c>
      <c r="M9" t="s">
        <v>1101</v>
      </c>
      <c r="O9" t="s">
        <v>1102</v>
      </c>
      <c r="P9" t="s">
        <v>621</v>
      </c>
      <c r="Q9" t="s">
        <v>1103</v>
      </c>
    </row>
    <row r="10" spans="4:17">
      <c r="D10" t="s">
        <v>1104</v>
      </c>
      <c r="E10" t="s">
        <v>1105</v>
      </c>
      <c r="F10" t="s">
        <v>1106</v>
      </c>
      <c r="G10" t="s">
        <v>1107</v>
      </c>
      <c r="I10" t="s">
        <v>1108</v>
      </c>
      <c r="J10" t="s">
        <v>1109</v>
      </c>
      <c r="K10" t="s">
        <v>1110</v>
      </c>
      <c r="L10" t="s">
        <v>1111</v>
      </c>
      <c r="M10" t="s">
        <v>1112</v>
      </c>
      <c r="O10" t="s">
        <v>1113</v>
      </c>
      <c r="P10" t="s">
        <v>1114</v>
      </c>
      <c r="Q10" t="s">
        <v>1115</v>
      </c>
    </row>
    <row r="11" spans="4:17">
      <c r="D11" t="s">
        <v>822</v>
      </c>
      <c r="E11" t="s">
        <v>1116</v>
      </c>
      <c r="F11" t="s">
        <v>822</v>
      </c>
      <c r="G11" t="s">
        <v>1117</v>
      </c>
      <c r="I11" t="s">
        <v>822</v>
      </c>
      <c r="J11" t="s">
        <v>1118</v>
      </c>
      <c r="K11" t="s">
        <v>1119</v>
      </c>
      <c r="L11" t="s">
        <v>1120</v>
      </c>
      <c r="M11" t="s">
        <v>1121</v>
      </c>
      <c r="O11" t="s">
        <v>1122</v>
      </c>
      <c r="P11" t="s">
        <v>1123</v>
      </c>
      <c r="Q11" t="s">
        <v>1124</v>
      </c>
    </row>
    <row r="12" spans="4:17">
      <c r="D12" t="s">
        <v>1122</v>
      </c>
      <c r="E12" t="s">
        <v>1125</v>
      </c>
      <c r="F12" t="s">
        <v>1126</v>
      </c>
      <c r="G12" t="s">
        <v>1127</v>
      </c>
      <c r="I12" t="s">
        <v>1128</v>
      </c>
      <c r="K12" t="s">
        <v>1129</v>
      </c>
      <c r="L12" t="s">
        <v>1130</v>
      </c>
      <c r="M12" t="s">
        <v>822</v>
      </c>
      <c r="O12" t="s">
        <v>1131</v>
      </c>
      <c r="P12" t="s">
        <v>1099</v>
      </c>
      <c r="Q12" t="s">
        <v>1132</v>
      </c>
    </row>
    <row r="13" spans="4:17">
      <c r="D13" t="s">
        <v>1133</v>
      </c>
      <c r="E13" t="s">
        <v>640</v>
      </c>
      <c r="F13" t="s">
        <v>1134</v>
      </c>
      <c r="G13" t="s">
        <v>1135</v>
      </c>
      <c r="I13" t="s">
        <v>1136</v>
      </c>
      <c r="K13" t="s">
        <v>1137</v>
      </c>
      <c r="L13" t="s">
        <v>1138</v>
      </c>
      <c r="M13" t="s">
        <v>1139</v>
      </c>
      <c r="O13" t="s">
        <v>1140</v>
      </c>
      <c r="P13" t="s">
        <v>1141</v>
      </c>
      <c r="Q13" t="s">
        <v>1142</v>
      </c>
    </row>
    <row r="14" spans="4:17">
      <c r="D14" t="s">
        <v>1143</v>
      </c>
      <c r="E14" t="s">
        <v>389</v>
      </c>
      <c r="F14" t="s">
        <v>1144</v>
      </c>
      <c r="G14" t="s">
        <v>1145</v>
      </c>
      <c r="K14" t="s">
        <v>822</v>
      </c>
      <c r="L14" t="s">
        <v>1146</v>
      </c>
      <c r="M14" t="s">
        <v>1147</v>
      </c>
      <c r="O14" t="s">
        <v>1148</v>
      </c>
      <c r="P14" t="s">
        <v>1149</v>
      </c>
      <c r="Q14" t="s">
        <v>1150</v>
      </c>
    </row>
    <row r="15" spans="4:17">
      <c r="E15" t="s">
        <v>1151</v>
      </c>
      <c r="F15" t="s">
        <v>1152</v>
      </c>
      <c r="G15" t="s">
        <v>822</v>
      </c>
      <c r="K15" t="s">
        <v>1153</v>
      </c>
      <c r="L15" t="s">
        <v>1154</v>
      </c>
      <c r="M15" t="s">
        <v>1155</v>
      </c>
      <c r="O15" t="s">
        <v>1156</v>
      </c>
      <c r="P15" t="s">
        <v>822</v>
      </c>
      <c r="Q15" t="s">
        <v>1157</v>
      </c>
    </row>
    <row r="16" spans="4:17">
      <c r="E16" t="s">
        <v>822</v>
      </c>
      <c r="G16" t="s">
        <v>1158</v>
      </c>
      <c r="K16" t="s">
        <v>1159</v>
      </c>
      <c r="P16" t="s">
        <v>1160</v>
      </c>
      <c r="Q16" t="s">
        <v>822</v>
      </c>
    </row>
    <row r="17" spans="5:17">
      <c r="E17" t="s">
        <v>845</v>
      </c>
      <c r="G17" t="s">
        <v>1161</v>
      </c>
      <c r="K17" t="s">
        <v>1162</v>
      </c>
      <c r="P17" t="s">
        <v>1163</v>
      </c>
      <c r="Q17" t="s">
        <v>1164</v>
      </c>
    </row>
    <row r="18" spans="5:17">
      <c r="E18" t="s">
        <v>1165</v>
      </c>
      <c r="G18" t="s">
        <v>1166</v>
      </c>
      <c r="K18" t="s">
        <v>1167</v>
      </c>
      <c r="P18" t="s">
        <v>1168</v>
      </c>
      <c r="Q18" t="s">
        <v>1169</v>
      </c>
    </row>
    <row r="19" spans="5:17">
      <c r="E19" t="s">
        <v>1170</v>
      </c>
      <c r="G19" t="s">
        <v>1171</v>
      </c>
      <c r="K19" t="s">
        <v>1172</v>
      </c>
      <c r="P19" t="s">
        <v>1173</v>
      </c>
      <c r="Q19" t="s">
        <v>1174</v>
      </c>
    </row>
    <row r="20" spans="5:17">
      <c r="E20" t="s">
        <v>1175</v>
      </c>
      <c r="G20" t="s">
        <v>1176</v>
      </c>
      <c r="K20" t="s">
        <v>1177</v>
      </c>
      <c r="P20" t="s">
        <v>761</v>
      </c>
      <c r="Q20" t="s">
        <v>1178</v>
      </c>
    </row>
    <row r="21" spans="5:17">
      <c r="E21" t="s">
        <v>1179</v>
      </c>
      <c r="G21" t="s">
        <v>1180</v>
      </c>
      <c r="K21" t="s">
        <v>1181</v>
      </c>
      <c r="Q21" t="s">
        <v>1182</v>
      </c>
    </row>
    <row r="22" spans="5:17">
      <c r="E22" t="s">
        <v>1183</v>
      </c>
      <c r="G22" t="s">
        <v>1184</v>
      </c>
      <c r="K22" t="s">
        <v>1185</v>
      </c>
      <c r="Q22" t="s">
        <v>724</v>
      </c>
    </row>
    <row r="23" spans="5:17">
      <c r="E23" t="s">
        <v>1186</v>
      </c>
      <c r="G23" t="s">
        <v>501</v>
      </c>
      <c r="K23" t="s">
        <v>1187</v>
      </c>
      <c r="Q23" t="s">
        <v>1188</v>
      </c>
    </row>
    <row r="24" spans="5:17">
      <c r="Q24" t="s">
        <v>1189</v>
      </c>
    </row>
    <row r="25" spans="5:17">
      <c r="Q25" t="s">
        <v>1190</v>
      </c>
    </row>
    <row r="26" spans="5:17">
      <c r="Q26" t="s">
        <v>1191</v>
      </c>
    </row>
    <row r="27" spans="5:17">
      <c r="Q27" t="s">
        <v>1192</v>
      </c>
    </row>
    <row r="28" spans="5:17">
      <c r="Q28" t="s">
        <v>1193</v>
      </c>
    </row>
    <row r="29" spans="5:17">
      <c r="Q29" t="s">
        <v>1194</v>
      </c>
    </row>
    <row r="30" spans="5:17">
      <c r="Q30" t="s">
        <v>1195</v>
      </c>
    </row>
  </sheetData>
  <pageMargins left="0.75" right="0.75" top="0.75" bottom="0.5" header="0.5" footer="0.7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
  <sheetViews>
    <sheetView workbookViewId="0"/>
  </sheetViews>
  <sheetFormatPr defaultRowHeight="15"/>
  <sheetData/>
  <pageMargins left="0.75" right="0.75" top="0.75" bottom="0.5" header="0.5" footer="0.75"/>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Z2:AA201"/>
  <sheetViews>
    <sheetView workbookViewId="0"/>
  </sheetViews>
  <sheetFormatPr defaultRowHeight="15"/>
  <cols>
    <col min="1" max="30" width="9.140625" customWidth="1"/>
  </cols>
  <sheetData>
    <row r="2" spans="26:27">
      <c r="Z2" t="s">
        <v>1013</v>
      </c>
      <c r="AA2" t="s">
        <v>1014</v>
      </c>
    </row>
    <row r="3" spans="26:27">
      <c r="Z3" t="s">
        <v>1026</v>
      </c>
      <c r="AA3" t="s">
        <v>1027</v>
      </c>
    </row>
    <row r="4" spans="26:27">
      <c r="Z4" t="s">
        <v>595</v>
      </c>
      <c r="AA4" t="s">
        <v>1038</v>
      </c>
    </row>
    <row r="5" spans="26:27">
      <c r="Z5" t="s">
        <v>1050</v>
      </c>
      <c r="AA5" t="s">
        <v>1051</v>
      </c>
    </row>
    <row r="6" spans="26:27">
      <c r="Z6" t="s">
        <v>1062</v>
      </c>
      <c r="AA6" t="s">
        <v>1063</v>
      </c>
    </row>
    <row r="7" spans="26:27">
      <c r="Z7" t="s">
        <v>1074</v>
      </c>
      <c r="AA7" t="s">
        <v>1075</v>
      </c>
    </row>
    <row r="8" spans="26:27">
      <c r="Z8" t="s">
        <v>649</v>
      </c>
      <c r="AA8" t="s">
        <v>1084</v>
      </c>
    </row>
    <row r="9" spans="26:27">
      <c r="Z9" t="s">
        <v>1081</v>
      </c>
      <c r="AA9" t="s">
        <v>1095</v>
      </c>
    </row>
    <row r="10" spans="26:27">
      <c r="Z10" t="s">
        <v>1104</v>
      </c>
      <c r="AA10" t="s">
        <v>1105</v>
      </c>
    </row>
    <row r="11" spans="26:27">
      <c r="Z11" t="s">
        <v>822</v>
      </c>
      <c r="AA11" t="s">
        <v>1116</v>
      </c>
    </row>
    <row r="12" spans="26:27">
      <c r="Z12" t="s">
        <v>1122</v>
      </c>
      <c r="AA12" t="s">
        <v>1125</v>
      </c>
    </row>
    <row r="13" spans="26:27">
      <c r="Z13" t="s">
        <v>1133</v>
      </c>
      <c r="AA13" t="s">
        <v>640</v>
      </c>
    </row>
    <row r="14" spans="26:27">
      <c r="Z14" t="s">
        <v>1143</v>
      </c>
      <c r="AA14" t="s">
        <v>389</v>
      </c>
    </row>
    <row r="15" spans="26:27">
      <c r="AA15" t="s">
        <v>1151</v>
      </c>
    </row>
    <row r="16" spans="26:27">
      <c r="AA16" t="s">
        <v>822</v>
      </c>
    </row>
    <row r="17" spans="27:27">
      <c r="AA17" t="s">
        <v>845</v>
      </c>
    </row>
    <row r="18" spans="27:27">
      <c r="AA18" t="s">
        <v>1165</v>
      </c>
    </row>
    <row r="19" spans="27:27">
      <c r="AA19" t="s">
        <v>1170</v>
      </c>
    </row>
    <row r="20" spans="27:27">
      <c r="AA20" t="s">
        <v>1175</v>
      </c>
    </row>
    <row r="21" spans="27:27">
      <c r="AA21" t="s">
        <v>1179</v>
      </c>
    </row>
    <row r="22" spans="27:27">
      <c r="AA22" t="s">
        <v>1183</v>
      </c>
    </row>
    <row r="23" spans="27:27">
      <c r="AA23" t="s">
        <v>1186</v>
      </c>
    </row>
    <row r="24" spans="27:27">
      <c r="AA24" t="s">
        <v>1015</v>
      </c>
    </row>
    <row r="25" spans="27:27">
      <c r="AA25" t="s">
        <v>1028</v>
      </c>
    </row>
    <row r="26" spans="27:27">
      <c r="AA26" t="s">
        <v>1039</v>
      </c>
    </row>
    <row r="27" spans="27:27">
      <c r="AA27" t="s">
        <v>1052</v>
      </c>
    </row>
    <row r="28" spans="27:27">
      <c r="AA28" t="s">
        <v>1064</v>
      </c>
    </row>
    <row r="29" spans="27:27">
      <c r="AA29" t="s">
        <v>1076</v>
      </c>
    </row>
    <row r="30" spans="27:27">
      <c r="AA30" t="s">
        <v>1085</v>
      </c>
    </row>
    <row r="31" spans="27:27">
      <c r="AA31" t="s">
        <v>1096</v>
      </c>
    </row>
    <row r="32" spans="27:27">
      <c r="AA32" t="s">
        <v>1106</v>
      </c>
    </row>
    <row r="33" spans="27:27">
      <c r="AA33" t="s">
        <v>822</v>
      </c>
    </row>
    <row r="34" spans="27:27">
      <c r="AA34" t="s">
        <v>1126</v>
      </c>
    </row>
    <row r="35" spans="27:27">
      <c r="AA35" t="s">
        <v>1134</v>
      </c>
    </row>
    <row r="36" spans="27:27">
      <c r="AA36" t="s">
        <v>1144</v>
      </c>
    </row>
    <row r="37" spans="27:27">
      <c r="AA37" t="s">
        <v>1152</v>
      </c>
    </row>
    <row r="38" spans="27:27">
      <c r="AA38" t="s">
        <v>1016</v>
      </c>
    </row>
    <row r="39" spans="27:27">
      <c r="AA39" t="s">
        <v>1029</v>
      </c>
    </row>
    <row r="40" spans="27:27">
      <c r="AA40" t="s">
        <v>1040</v>
      </c>
    </row>
    <row r="41" spans="27:27">
      <c r="AA41" t="s">
        <v>592</v>
      </c>
    </row>
    <row r="42" spans="27:27">
      <c r="AA42" t="s">
        <v>1065</v>
      </c>
    </row>
    <row r="43" spans="27:27">
      <c r="AA43" t="s">
        <v>593</v>
      </c>
    </row>
    <row r="44" spans="27:27">
      <c r="AA44" t="s">
        <v>1086</v>
      </c>
    </row>
    <row r="45" spans="27:27">
      <c r="AA45" t="s">
        <v>1097</v>
      </c>
    </row>
    <row r="46" spans="27:27">
      <c r="AA46" t="s">
        <v>1107</v>
      </c>
    </row>
    <row r="47" spans="27:27">
      <c r="AA47" t="s">
        <v>1117</v>
      </c>
    </row>
    <row r="48" spans="27:27">
      <c r="AA48" t="s">
        <v>1127</v>
      </c>
    </row>
    <row r="49" spans="27:27">
      <c r="AA49" t="s">
        <v>1135</v>
      </c>
    </row>
    <row r="50" spans="27:27">
      <c r="AA50" t="s">
        <v>1145</v>
      </c>
    </row>
    <row r="51" spans="27:27">
      <c r="AA51" t="s">
        <v>822</v>
      </c>
    </row>
    <row r="52" spans="27:27">
      <c r="AA52" t="s">
        <v>1158</v>
      </c>
    </row>
    <row r="53" spans="27:27">
      <c r="AA53" t="s">
        <v>1161</v>
      </c>
    </row>
    <row r="54" spans="27:27">
      <c r="AA54" t="s">
        <v>1166</v>
      </c>
    </row>
    <row r="55" spans="27:27">
      <c r="AA55" t="s">
        <v>1171</v>
      </c>
    </row>
    <row r="56" spans="27:27">
      <c r="AA56" t="s">
        <v>1176</v>
      </c>
    </row>
    <row r="57" spans="27:27">
      <c r="AA57" t="s">
        <v>1180</v>
      </c>
    </row>
    <row r="58" spans="27:27">
      <c r="AA58" t="s">
        <v>1184</v>
      </c>
    </row>
    <row r="59" spans="27:27">
      <c r="AA59" t="s">
        <v>501</v>
      </c>
    </row>
    <row r="60" spans="27:27">
      <c r="AA60" t="s">
        <v>1017</v>
      </c>
    </row>
    <row r="61" spans="27:27">
      <c r="AA61" t="s">
        <v>1030</v>
      </c>
    </row>
    <row r="62" spans="27:27">
      <c r="AA62" t="s">
        <v>1041</v>
      </c>
    </row>
    <row r="63" spans="27:27">
      <c r="AA63" t="s">
        <v>1053</v>
      </c>
    </row>
    <row r="64" spans="27:27">
      <c r="AA64" t="s">
        <v>822</v>
      </c>
    </row>
    <row r="65" spans="27:27">
      <c r="AA65" t="s">
        <v>1077</v>
      </c>
    </row>
    <row r="66" spans="27:27">
      <c r="AA66" t="s">
        <v>1087</v>
      </c>
    </row>
    <row r="67" spans="27:27">
      <c r="AA67" t="s">
        <v>1018</v>
      </c>
    </row>
    <row r="68" spans="27:27">
      <c r="AA68" t="s">
        <v>1031</v>
      </c>
    </row>
    <row r="69" spans="27:27">
      <c r="AA69" t="s">
        <v>1042</v>
      </c>
    </row>
    <row r="70" spans="27:27">
      <c r="AA70" t="s">
        <v>1054</v>
      </c>
    </row>
    <row r="71" spans="27:27">
      <c r="AA71" t="s">
        <v>1066</v>
      </c>
    </row>
    <row r="72" spans="27:27">
      <c r="AA72" t="s">
        <v>1078</v>
      </c>
    </row>
    <row r="73" spans="27:27">
      <c r="AA73" t="s">
        <v>1088</v>
      </c>
    </row>
    <row r="74" spans="27:27">
      <c r="AA74" t="s">
        <v>1098</v>
      </c>
    </row>
    <row r="75" spans="27:27">
      <c r="AA75" t="s">
        <v>1108</v>
      </c>
    </row>
    <row r="76" spans="27:27">
      <c r="AA76" t="s">
        <v>822</v>
      </c>
    </row>
    <row r="77" spans="27:27">
      <c r="AA77" t="s">
        <v>1128</v>
      </c>
    </row>
    <row r="78" spans="27:27">
      <c r="AA78" t="s">
        <v>1136</v>
      </c>
    </row>
    <row r="79" spans="27:27">
      <c r="AA79" t="s">
        <v>1019</v>
      </c>
    </row>
    <row r="80" spans="27:27">
      <c r="AA80" t="s">
        <v>1032</v>
      </c>
    </row>
    <row r="81" spans="27:27">
      <c r="AA81" t="s">
        <v>1043</v>
      </c>
    </row>
    <row r="82" spans="27:27">
      <c r="AA82" t="s">
        <v>1055</v>
      </c>
    </row>
    <row r="83" spans="27:27">
      <c r="AA83" t="s">
        <v>1067</v>
      </c>
    </row>
    <row r="84" spans="27:27">
      <c r="AA84" t="s">
        <v>1079</v>
      </c>
    </row>
    <row r="85" spans="27:27">
      <c r="AA85" t="s">
        <v>1089</v>
      </c>
    </row>
    <row r="86" spans="27:27">
      <c r="AA86" t="s">
        <v>822</v>
      </c>
    </row>
    <row r="87" spans="27:27">
      <c r="AA87" t="s">
        <v>1109</v>
      </c>
    </row>
    <row r="88" spans="27:27">
      <c r="AA88" t="s">
        <v>1118</v>
      </c>
    </row>
    <row r="89" spans="27:27">
      <c r="AA89" t="s">
        <v>1020</v>
      </c>
    </row>
    <row r="90" spans="27:27">
      <c r="AA90" t="s">
        <v>1033</v>
      </c>
    </row>
    <row r="91" spans="27:27">
      <c r="AA91" t="s">
        <v>1044</v>
      </c>
    </row>
    <row r="92" spans="27:27">
      <c r="AA92" t="s">
        <v>1056</v>
      </c>
    </row>
    <row r="93" spans="27:27">
      <c r="AA93" t="s">
        <v>1068</v>
      </c>
    </row>
    <row r="94" spans="27:27">
      <c r="AA94" t="s">
        <v>1080</v>
      </c>
    </row>
    <row r="95" spans="27:27">
      <c r="AA95" t="s">
        <v>1090</v>
      </c>
    </row>
    <row r="96" spans="27:27">
      <c r="AA96" t="s">
        <v>1099</v>
      </c>
    </row>
    <row r="97" spans="27:27">
      <c r="AA97" t="s">
        <v>1110</v>
      </c>
    </row>
    <row r="98" spans="27:27">
      <c r="AA98" t="s">
        <v>1119</v>
      </c>
    </row>
    <row r="99" spans="27:27">
      <c r="AA99" t="s">
        <v>1129</v>
      </c>
    </row>
    <row r="100" spans="27:27">
      <c r="AA100" t="s">
        <v>1137</v>
      </c>
    </row>
    <row r="101" spans="27:27">
      <c r="AA101" t="s">
        <v>822</v>
      </c>
    </row>
    <row r="102" spans="27:27">
      <c r="AA102" t="s">
        <v>1153</v>
      </c>
    </row>
    <row r="103" spans="27:27">
      <c r="AA103" t="s">
        <v>1159</v>
      </c>
    </row>
    <row r="104" spans="27:27">
      <c r="AA104" t="s">
        <v>1162</v>
      </c>
    </row>
    <row r="105" spans="27:27">
      <c r="AA105" t="s">
        <v>1167</v>
      </c>
    </row>
    <row r="106" spans="27:27">
      <c r="AA106" t="s">
        <v>1172</v>
      </c>
    </row>
    <row r="107" spans="27:27">
      <c r="AA107" t="s">
        <v>1177</v>
      </c>
    </row>
    <row r="108" spans="27:27">
      <c r="AA108" t="s">
        <v>1181</v>
      </c>
    </row>
    <row r="109" spans="27:27">
      <c r="AA109" t="s">
        <v>1185</v>
      </c>
    </row>
    <row r="110" spans="27:27">
      <c r="AA110" t="s">
        <v>1187</v>
      </c>
    </row>
    <row r="111" spans="27:27">
      <c r="AA111" t="s">
        <v>1021</v>
      </c>
    </row>
    <row r="112" spans="27:27">
      <c r="AA112" t="s">
        <v>1034</v>
      </c>
    </row>
    <row r="113" spans="27:27">
      <c r="AA113" t="s">
        <v>1045</v>
      </c>
    </row>
    <row r="114" spans="27:27">
      <c r="AA114" t="s">
        <v>1057</v>
      </c>
    </row>
    <row r="115" spans="27:27">
      <c r="AA115" t="s">
        <v>1069</v>
      </c>
    </row>
    <row r="116" spans="27:27">
      <c r="AA116" t="s">
        <v>1081</v>
      </c>
    </row>
    <row r="117" spans="27:27">
      <c r="AA117" t="s">
        <v>822</v>
      </c>
    </row>
    <row r="118" spans="27:27">
      <c r="AA118" t="s">
        <v>1100</v>
      </c>
    </row>
    <row r="119" spans="27:27">
      <c r="AA119" t="s">
        <v>1111</v>
      </c>
    </row>
    <row r="120" spans="27:27">
      <c r="AA120" t="s">
        <v>1120</v>
      </c>
    </row>
    <row r="121" spans="27:27">
      <c r="AA121" t="s">
        <v>1130</v>
      </c>
    </row>
    <row r="122" spans="27:27">
      <c r="AA122" t="s">
        <v>1138</v>
      </c>
    </row>
    <row r="123" spans="27:27">
      <c r="AA123" t="s">
        <v>1146</v>
      </c>
    </row>
    <row r="124" spans="27:27">
      <c r="AA124" t="s">
        <v>1154</v>
      </c>
    </row>
    <row r="125" spans="27:27">
      <c r="AA125" t="s">
        <v>1022</v>
      </c>
    </row>
    <row r="126" spans="27:27">
      <c r="AA126" t="s">
        <v>1035</v>
      </c>
    </row>
    <row r="127" spans="27:27">
      <c r="AA127" t="s">
        <v>1046</v>
      </c>
    </row>
    <row r="128" spans="27:27">
      <c r="AA128" t="s">
        <v>1058</v>
      </c>
    </row>
    <row r="129" spans="27:27">
      <c r="AA129" t="s">
        <v>1070</v>
      </c>
    </row>
    <row r="130" spans="27:27">
      <c r="AA130" t="s">
        <v>1082</v>
      </c>
    </row>
    <row r="131" spans="27:27">
      <c r="AA131" t="s">
        <v>1091</v>
      </c>
    </row>
    <row r="132" spans="27:27">
      <c r="AA132" t="s">
        <v>1101</v>
      </c>
    </row>
    <row r="133" spans="27:27">
      <c r="AA133" t="s">
        <v>1112</v>
      </c>
    </row>
    <row r="134" spans="27:27">
      <c r="AA134" t="s">
        <v>1121</v>
      </c>
    </row>
    <row r="135" spans="27:27">
      <c r="AA135" t="s">
        <v>822</v>
      </c>
    </row>
    <row r="136" spans="27:27">
      <c r="AA136" t="s">
        <v>1139</v>
      </c>
    </row>
    <row r="137" spans="27:27">
      <c r="AA137" t="s">
        <v>1147</v>
      </c>
    </row>
    <row r="138" spans="27:27">
      <c r="AA138" t="s">
        <v>1155</v>
      </c>
    </row>
    <row r="139" spans="27:27">
      <c r="AA139" t="s">
        <v>822</v>
      </c>
    </row>
    <row r="140" spans="27:27">
      <c r="AA140" t="s">
        <v>1023</v>
      </c>
    </row>
    <row r="141" spans="27:27">
      <c r="AA141" t="s">
        <v>1036</v>
      </c>
    </row>
    <row r="142" spans="27:27">
      <c r="AA142" t="s">
        <v>1047</v>
      </c>
    </row>
    <row r="143" spans="27:27">
      <c r="AA143" t="s">
        <v>1059</v>
      </c>
    </row>
    <row r="144" spans="27:27">
      <c r="AA144" t="s">
        <v>1071</v>
      </c>
    </row>
    <row r="145" spans="27:27">
      <c r="AA145" t="s">
        <v>822</v>
      </c>
    </row>
    <row r="146" spans="27:27">
      <c r="AA146" t="s">
        <v>1092</v>
      </c>
    </row>
    <row r="147" spans="27:27">
      <c r="AA147" t="s">
        <v>1102</v>
      </c>
    </row>
    <row r="148" spans="27:27">
      <c r="AA148" t="s">
        <v>1113</v>
      </c>
    </row>
    <row r="149" spans="27:27">
      <c r="AA149" t="s">
        <v>1122</v>
      </c>
    </row>
    <row r="150" spans="27:27">
      <c r="AA150" t="s">
        <v>1131</v>
      </c>
    </row>
    <row r="151" spans="27:27">
      <c r="AA151" t="s">
        <v>1140</v>
      </c>
    </row>
    <row r="152" spans="27:27">
      <c r="AA152" t="s">
        <v>1148</v>
      </c>
    </row>
    <row r="153" spans="27:27">
      <c r="AA153" t="s">
        <v>1156</v>
      </c>
    </row>
    <row r="154" spans="27:27">
      <c r="AA154" t="s">
        <v>1024</v>
      </c>
    </row>
    <row r="155" spans="27:27">
      <c r="AA155" t="s">
        <v>277</v>
      </c>
    </row>
    <row r="156" spans="27:27">
      <c r="AA156" t="s">
        <v>1048</v>
      </c>
    </row>
    <row r="157" spans="27:27">
      <c r="AA157" t="s">
        <v>1060</v>
      </c>
    </row>
    <row r="158" spans="27:27">
      <c r="AA158" t="s">
        <v>1072</v>
      </c>
    </row>
    <row r="159" spans="27:27">
      <c r="AA159" t="s">
        <v>366</v>
      </c>
    </row>
    <row r="160" spans="27:27">
      <c r="AA160" t="s">
        <v>1093</v>
      </c>
    </row>
    <row r="161" spans="27:27">
      <c r="AA161" t="s">
        <v>621</v>
      </c>
    </row>
    <row r="162" spans="27:27">
      <c r="AA162" t="s">
        <v>1114</v>
      </c>
    </row>
    <row r="163" spans="27:27">
      <c r="AA163" t="s">
        <v>1123</v>
      </c>
    </row>
    <row r="164" spans="27:27">
      <c r="AA164" t="s">
        <v>1099</v>
      </c>
    </row>
    <row r="165" spans="27:27">
      <c r="AA165" t="s">
        <v>1141</v>
      </c>
    </row>
    <row r="166" spans="27:27">
      <c r="AA166" t="s">
        <v>1149</v>
      </c>
    </row>
    <row r="167" spans="27:27">
      <c r="AA167" t="s">
        <v>822</v>
      </c>
    </row>
    <row r="168" spans="27:27">
      <c r="AA168" t="s">
        <v>1160</v>
      </c>
    </row>
    <row r="169" spans="27:27">
      <c r="AA169" t="s">
        <v>1163</v>
      </c>
    </row>
    <row r="170" spans="27:27">
      <c r="AA170" t="s">
        <v>1168</v>
      </c>
    </row>
    <row r="171" spans="27:27">
      <c r="AA171" t="s">
        <v>1173</v>
      </c>
    </row>
    <row r="172" spans="27:27">
      <c r="AA172" t="s">
        <v>761</v>
      </c>
    </row>
    <row r="173" spans="27:27">
      <c r="AA173" t="s">
        <v>1025</v>
      </c>
    </row>
    <row r="174" spans="27:27">
      <c r="AA174" t="s">
        <v>1037</v>
      </c>
    </row>
    <row r="175" spans="27:27">
      <c r="AA175" t="s">
        <v>1049</v>
      </c>
    </row>
    <row r="176" spans="27:27">
      <c r="AA176" t="s">
        <v>1061</v>
      </c>
    </row>
    <row r="177" spans="27:27">
      <c r="AA177" t="s">
        <v>1073</v>
      </c>
    </row>
    <row r="178" spans="27:27">
      <c r="AA178" t="s">
        <v>1083</v>
      </c>
    </row>
    <row r="179" spans="27:27">
      <c r="AA179" t="s">
        <v>1094</v>
      </c>
    </row>
    <row r="180" spans="27:27">
      <c r="AA180" t="s">
        <v>1103</v>
      </c>
    </row>
    <row r="181" spans="27:27">
      <c r="AA181" t="s">
        <v>1115</v>
      </c>
    </row>
    <row r="182" spans="27:27">
      <c r="AA182" t="s">
        <v>1124</v>
      </c>
    </row>
    <row r="183" spans="27:27">
      <c r="AA183" t="s">
        <v>1132</v>
      </c>
    </row>
    <row r="184" spans="27:27">
      <c r="AA184" t="s">
        <v>1142</v>
      </c>
    </row>
    <row r="185" spans="27:27">
      <c r="AA185" t="s">
        <v>1150</v>
      </c>
    </row>
    <row r="186" spans="27:27">
      <c r="AA186" t="s">
        <v>1157</v>
      </c>
    </row>
    <row r="187" spans="27:27">
      <c r="AA187" t="s">
        <v>822</v>
      </c>
    </row>
    <row r="188" spans="27:27">
      <c r="AA188" t="s">
        <v>1164</v>
      </c>
    </row>
    <row r="189" spans="27:27">
      <c r="AA189" t="s">
        <v>1169</v>
      </c>
    </row>
    <row r="190" spans="27:27">
      <c r="AA190" t="s">
        <v>1174</v>
      </c>
    </row>
    <row r="191" spans="27:27">
      <c r="AA191" t="s">
        <v>1178</v>
      </c>
    </row>
    <row r="192" spans="27:27">
      <c r="AA192" t="s">
        <v>1182</v>
      </c>
    </row>
    <row r="193" spans="27:27">
      <c r="AA193" t="s">
        <v>724</v>
      </c>
    </row>
    <row r="194" spans="27:27">
      <c r="AA194" t="s">
        <v>1188</v>
      </c>
    </row>
    <row r="195" spans="27:27">
      <c r="AA195" t="s">
        <v>1189</v>
      </c>
    </row>
    <row r="196" spans="27:27">
      <c r="AA196" t="s">
        <v>1190</v>
      </c>
    </row>
    <row r="197" spans="27:27">
      <c r="AA197" t="s">
        <v>1191</v>
      </c>
    </row>
    <row r="198" spans="27:27">
      <c r="AA198" t="s">
        <v>1192</v>
      </c>
    </row>
    <row r="199" spans="27:27">
      <c r="AA199" t="s">
        <v>1193</v>
      </c>
    </row>
    <row r="200" spans="27:27">
      <c r="AA200" t="s">
        <v>1194</v>
      </c>
    </row>
    <row r="201" spans="27:27">
      <c r="AA201" t="s">
        <v>1195</v>
      </c>
    </row>
  </sheetData>
  <pageMargins left="0.75" right="0.75" top="0.75" bottom="0.5" header="0.5" footer="0.75"/>
  <legacy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
  <sheetViews>
    <sheetView workbookViewId="0"/>
  </sheetViews>
  <sheetFormatPr defaultRowHeight="15"/>
  <sheetData/>
  <pageMargins left="0.75" right="0.75" top="0.75" bottom="0.5" header="0.5" footer="0.7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
  <sheetViews>
    <sheetView workbookViewId="0"/>
  </sheetViews>
  <sheetFormatPr defaultRowHeight="15"/>
  <sheetData/>
  <pageMargins left="0.75" right="0.75" top="0.75" bottom="0.5" header="0.5" footer="0.7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file>

<file path=customXml/item2.xml><?xml version="1.0" encoding="utf-8"?>
<ct:contentTypeSchema xmlns:ct="http://schemas.microsoft.com/office/2006/metadata/contentType" xmlns:ma="http://schemas.microsoft.com/office/2006/metadata/properties/metaAttributes" ct:_="" ma:_="" ma:contentTypeName="Document" ma:contentTypeID="0x01010074F375D0352AEF4C939EB6C8676E3C22" ma:contentTypeVersion="22" ma:contentTypeDescription="Create a new document." ma:contentTypeScope="" ma:versionID="0e3740c3aae9b375dc0ecbfcb646fa4f">
  <xsd:schema xmlns:xsd="http://www.w3.org/2001/XMLSchema" xmlns:xs="http://www.w3.org/2001/XMLSchema" xmlns:p="http://schemas.microsoft.com/office/2006/metadata/properties" xmlns:ns2="5445d715-02b0-4318-af61-8a6306bb1370" targetNamespace="http://schemas.microsoft.com/office/2006/metadata/properties" ma:root="true" ma:fieldsID="5cebb3d479552f6f95a3835ad5b065b9" ns2:_="">
    <xsd:import namespace="5445d715-02b0-4318-af61-8a6306bb1370"/>
    <xsd:element name="properties">
      <xsd:complexType>
        <xsd:sequence>
          <xsd:element name="documentManagement">
            <xsd:complexType>
              <xsd:all>
                <xsd:element ref="ns2:SharedWithUsers" minOccurs="0"/>
                <xsd:element ref="ns2:_dlc_DocId" minOccurs="0"/>
                <xsd:element ref="ns2:_dlc_DocIdUrl" minOccurs="0"/>
                <xsd:element ref="ns2: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445d715-02b0-4318-af61-8a6306bb1370" elementFormDefault="qualified">
    <xsd:import namespace="http://schemas.microsoft.com/office/2006/documentManagement/types"/>
    <xsd:import namespace="http://schemas.microsoft.com/office/infopath/2007/PartnerControls"/>
    <xsd:element name="SharedWithUsers" ma:index="8" nillable="true" ma:displayName="Shared With"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_dlc_DocId" ma:index="9" nillable="true" ma:displayName="Document ID Value" ma:description="The value of the document ID assigned to this item." ma:internalName="_dlc_DocId" ma:readOnly="true">
      <xsd:simpleType>
        <xsd:restriction base="dms:Text"/>
      </xsd:simpleType>
    </xsd:element>
    <xsd:element name="_dlc_DocIdUrl" ma:index="10"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1"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dlc_DocId xmlns="5445d715-02b0-4318-af61-8a6306bb1370">CX7MHC5NQFSZ-775260839-277518</_dlc_DocId>
    <_dlc_DocIdUrl xmlns="5445d715-02b0-4318-af61-8a6306bb1370">
      <Url>https://newolngportal.omanlng.int/cpl/cpl-dc/ngf52/_layouts/15/DocIdRedir.aspx?ID=CX7MHC5NQFSZ-775260839-277518</Url>
      <Description>CX7MHC5NQFSZ-775260839-277518</Description>
    </_dlc_DocIdUrl>
  </documentManagement>
</p:properties>
</file>

<file path=customXml/item4.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Props1.xml><?xml version="1.0" encoding="utf-8"?>
<ds:datastoreItem xmlns:ds="http://schemas.openxmlformats.org/officeDocument/2006/customXml" ds:itemID="{C4949A42-3463-402B-9A41-2193F608CBF6}"/>
</file>

<file path=customXml/itemProps2.xml><?xml version="1.0" encoding="utf-8"?>
<ds:datastoreItem xmlns:ds="http://schemas.openxmlformats.org/officeDocument/2006/customXml" ds:itemID="{5EC19E71-CED5-4A17-8AD1-8291E46BBE4F}"/>
</file>

<file path=customXml/itemProps3.xml><?xml version="1.0" encoding="utf-8"?>
<ds:datastoreItem xmlns:ds="http://schemas.openxmlformats.org/officeDocument/2006/customXml" ds:itemID="{6A952186-035C-4085-8DCF-EEBC4B92DF19}">
  <ds:schemaRefs>
    <ds:schemaRef ds:uri="http://purl.org/dc/terms/"/>
    <ds:schemaRef ds:uri="http://schemas.microsoft.com/office/2006/documentManagement/types"/>
    <ds:schemaRef ds:uri="http://schemas.openxmlformats.org/package/2006/metadata/core-properties"/>
    <ds:schemaRef ds:uri="http://www.w3.org/XML/1998/namespace"/>
    <ds:schemaRef ds:uri="http://schemas.microsoft.com/office/infopath/2007/PartnerControls"/>
    <ds:schemaRef ds:uri="8712e564-84e9-4094-bc04-83edce229025"/>
    <ds:schemaRef ds:uri="http://purl.org/dc/elements/1.1/"/>
    <ds:schemaRef ds:uri="http://schemas.microsoft.com/office/2006/metadata/properties"/>
    <ds:schemaRef ds:uri="http://purl.org/dc/dcmitype/"/>
  </ds:schemaRefs>
</ds:datastoreItem>
</file>

<file path=customXml/itemProps4.xml><?xml version="1.0" encoding="utf-8"?>
<ds:datastoreItem xmlns:ds="http://schemas.openxmlformats.org/officeDocument/2006/customXml" ds:itemID="{5C35D124-EAA1-4A9E-9233-75CC82422F2B}"/>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16</vt:i4>
      </vt:variant>
      <vt:variant>
        <vt:lpstr>Named Ranges</vt:lpstr>
      </vt:variant>
      <vt:variant>
        <vt:i4>46</vt:i4>
      </vt:variant>
    </vt:vector>
  </HeadingPairs>
  <TitlesOfParts>
    <vt:vector size="62" baseType="lpstr">
      <vt:lpstr>Tender Info</vt:lpstr>
      <vt:lpstr>Guidelines</vt:lpstr>
      <vt:lpstr>Table B Workforce - Contractor</vt:lpstr>
      <vt:lpstr>Workforce - Subcontractor</vt:lpstr>
      <vt:lpstr>Table C Goods </vt:lpstr>
      <vt:lpstr>Table D Services</vt:lpstr>
      <vt:lpstr>Table E IndirectICV</vt:lpstr>
      <vt:lpstr>Summary</vt:lpstr>
      <vt:lpstr>Lookup</vt:lpstr>
      <vt:lpstr>System Values</vt:lpstr>
      <vt:lpstr>Goods Data</vt:lpstr>
      <vt:lpstr>Service Data</vt:lpstr>
      <vt:lpstr>Indirect Data</vt:lpstr>
      <vt:lpstr>srvcatData</vt:lpstr>
      <vt:lpstr>IndCatData</vt:lpstr>
      <vt:lpstr>InvData</vt:lpstr>
      <vt:lpstr>Chemical_Energy</vt:lpstr>
      <vt:lpstr>Chemical_Energy_Services</vt:lpstr>
      <vt:lpstr>Chemicals_and_Energy</vt:lpstr>
      <vt:lpstr>Chemicals_Energy</vt:lpstr>
      <vt:lpstr>Civil_and_Equipment</vt:lpstr>
      <vt:lpstr>Civil_and_Services</vt:lpstr>
      <vt:lpstr>Corporate_Services</vt:lpstr>
      <vt:lpstr>dd_category</vt:lpstr>
      <vt:lpstr>Electrical_and_Equipment</vt:lpstr>
      <vt:lpstr>Electrical_and_Services</vt:lpstr>
      <vt:lpstr>EngineeringProjectConstruction</vt:lpstr>
      <vt:lpstr>EPC_Services</vt:lpstr>
      <vt:lpstr>Equipment</vt:lpstr>
      <vt:lpstr>EquipmentServices</vt:lpstr>
      <vt:lpstr>FuelOils</vt:lpstr>
      <vt:lpstr>Geoscience</vt:lpstr>
      <vt:lpstr>Geoscience_Services</vt:lpstr>
      <vt:lpstr>Health_and_Safety_and_and_and_Environment</vt:lpstr>
      <vt:lpstr>Health_and_Safety_and_Equipment</vt:lpstr>
      <vt:lpstr>Instrumentation_and_Automation_and_Equipment</vt:lpstr>
      <vt:lpstr>Instrumentation_and_Automation_and_Services</vt:lpstr>
      <vt:lpstr>IT_and_Services</vt:lpstr>
      <vt:lpstr>IT_and_Telecom</vt:lpstr>
      <vt:lpstr>Linepipe</vt:lpstr>
      <vt:lpstr>Logistics</vt:lpstr>
      <vt:lpstr>Made_In_Oman</vt:lpstr>
      <vt:lpstr>MadeinOman</vt:lpstr>
      <vt:lpstr>Mechanical_and_Services</vt:lpstr>
      <vt:lpstr>Misc_Goods</vt:lpstr>
      <vt:lpstr>Misc_Services</vt:lpstr>
      <vt:lpstr>NonMade_In_Oman</vt:lpstr>
      <vt:lpstr>NotMadeinOman_ProcuredfromForeignRegisteredCompany</vt:lpstr>
      <vt:lpstr>NotMadeinOman_ProcuredfromNationallyRegisteredCompany</vt:lpstr>
      <vt:lpstr>Other_and_Equipments</vt:lpstr>
      <vt:lpstr>Other_and_Services</vt:lpstr>
      <vt:lpstr>Pipeline_and_Construction</vt:lpstr>
      <vt:lpstr>Project_and_Engineering_and_Services</vt:lpstr>
      <vt:lpstr>Rotating_and_Equipment</vt:lpstr>
      <vt:lpstr>Services</vt:lpstr>
      <vt:lpstr>ServicesSourced_ForeignRegisteredCompany</vt:lpstr>
      <vt:lpstr>ServicesSourced_NationalRegisteredCompany</vt:lpstr>
      <vt:lpstr>Static_and_MRO_and_Equipment</vt:lpstr>
      <vt:lpstr>Well_and_Services</vt:lpstr>
      <vt:lpstr>Wells</vt:lpstr>
      <vt:lpstr>Wells_and_Equipment</vt:lpstr>
      <vt:lpstr>Wells_Services</vt:lpstr>
    </vt:vector>
  </TitlesOfParts>
  <Company>PDO</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MU52152</dc:creator>
  <cp:lastModifiedBy>Al Hashmi, Ahmed OLNG-ICV/1</cp:lastModifiedBy>
  <cp:lastPrinted>2017-03-05T09:36:37Z</cp:lastPrinted>
  <dcterms:created xsi:type="dcterms:W3CDTF">2015-08-11T05:02:13Z</dcterms:created>
  <dcterms:modified xsi:type="dcterms:W3CDTF">2025-04-10T05:34:11Z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0x01010074F375D0352AEF4C939EB6C8676E3C22</vt:lpwstr>
  </property>
  <property fmtid="{D5CDD505-2E9C-101B-9397-08002B2CF9AE}" pid="3" name="_dlc_DocIdItemGuid">
    <vt:lpwstr>3ca64acb-15d0-4d4a-bc42-ada95d8b2219</vt:lpwstr>
  </property>
</Properties>
</file>